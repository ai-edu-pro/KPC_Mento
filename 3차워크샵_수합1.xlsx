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~1\카카오~1\"/>
    </mc:Choice>
  </mc:AlternateContent>
  <bookViews>
    <workbookView xWindow="0" yWindow="0" windowWidth="38400" windowHeight="21600"/>
  </bookViews>
  <sheets>
    <sheet name="K_S_A" sheetId="1" r:id="rId1"/>
    <sheet name="3차설문결과_중요도_난이도" sheetId="2" r:id="rId2"/>
    <sheet name="3차설문결과_기초역량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0" i="3" l="1"/>
  <c r="W10" i="3"/>
  <c r="M10" i="3"/>
  <c r="AH10" i="3" s="1"/>
  <c r="AG9" i="3"/>
  <c r="W9" i="3"/>
  <c r="M9" i="3"/>
  <c r="AH9" i="3" s="1"/>
  <c r="AG8" i="3"/>
  <c r="W8" i="3"/>
  <c r="M8" i="3"/>
  <c r="AH8" i="3" s="1"/>
  <c r="AG7" i="3"/>
  <c r="W7" i="3"/>
  <c r="M7" i="3"/>
  <c r="AH7" i="3" s="1"/>
  <c r="AG6" i="3"/>
  <c r="W6" i="3"/>
  <c r="M6" i="3"/>
  <c r="AH6" i="3" s="1"/>
  <c r="AG5" i="3"/>
  <c r="W5" i="3"/>
  <c r="M5" i="3"/>
  <c r="AH5" i="3" s="1"/>
  <c r="AG4" i="3"/>
  <c r="W4" i="3"/>
  <c r="M4" i="3"/>
  <c r="AH4" i="3" s="1"/>
  <c r="AG3" i="3"/>
  <c r="W3" i="3"/>
  <c r="M3" i="3"/>
  <c r="AH3" i="3" s="1"/>
  <c r="AG2" i="3"/>
  <c r="W2" i="3"/>
  <c r="M2" i="3"/>
  <c r="AH2" i="3" s="1"/>
  <c r="AN5" i="2"/>
  <c r="AX60" i="2"/>
  <c r="AN60" i="2"/>
  <c r="AD60" i="2"/>
  <c r="AX59" i="2"/>
  <c r="AN59" i="2"/>
  <c r="AD59" i="2"/>
  <c r="AY59" i="2" s="1"/>
  <c r="AX58" i="2"/>
  <c r="AN58" i="2"/>
  <c r="AD58" i="2"/>
  <c r="AX57" i="2"/>
  <c r="AN57" i="2"/>
  <c r="AD57" i="2"/>
  <c r="AY57" i="2" s="1"/>
  <c r="AX56" i="2"/>
  <c r="AN56" i="2"/>
  <c r="AD56" i="2"/>
  <c r="AX55" i="2"/>
  <c r="AN55" i="2"/>
  <c r="AD55" i="2"/>
  <c r="AY55" i="2" s="1"/>
  <c r="AX54" i="2"/>
  <c r="AN54" i="2"/>
  <c r="AD54" i="2"/>
  <c r="AX53" i="2"/>
  <c r="AN53" i="2"/>
  <c r="AD53" i="2"/>
  <c r="AY53" i="2" s="1"/>
  <c r="AX52" i="2"/>
  <c r="AN52" i="2"/>
  <c r="AD52" i="2"/>
  <c r="AX51" i="2"/>
  <c r="AN51" i="2"/>
  <c r="AD51" i="2"/>
  <c r="AY51" i="2" s="1"/>
  <c r="AX50" i="2"/>
  <c r="AN50" i="2"/>
  <c r="AD50" i="2"/>
  <c r="AX49" i="2"/>
  <c r="AN49" i="2"/>
  <c r="AD49" i="2"/>
  <c r="AY49" i="2" s="1"/>
  <c r="AX48" i="2"/>
  <c r="AN48" i="2"/>
  <c r="AD48" i="2"/>
  <c r="AX47" i="2"/>
  <c r="AN47" i="2"/>
  <c r="AD47" i="2"/>
  <c r="AY47" i="2" s="1"/>
  <c r="AX46" i="2"/>
  <c r="AN46" i="2"/>
  <c r="AD46" i="2"/>
  <c r="AX45" i="2"/>
  <c r="AN45" i="2"/>
  <c r="AD45" i="2"/>
  <c r="AY45" i="2" s="1"/>
  <c r="AX44" i="2"/>
  <c r="AN44" i="2"/>
  <c r="AD44" i="2"/>
  <c r="AX43" i="2"/>
  <c r="AN43" i="2"/>
  <c r="AD43" i="2"/>
  <c r="AY43" i="2" s="1"/>
  <c r="AX42" i="2"/>
  <c r="AN42" i="2"/>
  <c r="AD42" i="2"/>
  <c r="AX41" i="2"/>
  <c r="AN41" i="2"/>
  <c r="AD41" i="2"/>
  <c r="AY41" i="2" s="1"/>
  <c r="AX40" i="2"/>
  <c r="AN40" i="2"/>
  <c r="AD40" i="2"/>
  <c r="AX39" i="2"/>
  <c r="AN39" i="2"/>
  <c r="AD39" i="2"/>
  <c r="AY39" i="2" s="1"/>
  <c r="AX38" i="2"/>
  <c r="AN38" i="2"/>
  <c r="AD38" i="2"/>
  <c r="AX37" i="2"/>
  <c r="AN37" i="2"/>
  <c r="AD37" i="2"/>
  <c r="AY37" i="2" s="1"/>
  <c r="AX36" i="2"/>
  <c r="AN36" i="2"/>
  <c r="AD36" i="2"/>
  <c r="AX35" i="2"/>
  <c r="AN35" i="2"/>
  <c r="AD35" i="2"/>
  <c r="AY35" i="2" s="1"/>
  <c r="AX34" i="2"/>
  <c r="AN34" i="2"/>
  <c r="AD34" i="2"/>
  <c r="AX33" i="2"/>
  <c r="AN33" i="2"/>
  <c r="AD33" i="2"/>
  <c r="AY33" i="2" s="1"/>
  <c r="AX32" i="2"/>
  <c r="AN32" i="2"/>
  <c r="AD32" i="2"/>
  <c r="AX31" i="2"/>
  <c r="AN31" i="2"/>
  <c r="AD31" i="2"/>
  <c r="AY31" i="2" s="1"/>
  <c r="AX30" i="2"/>
  <c r="AN30" i="2"/>
  <c r="AD30" i="2"/>
  <c r="AX29" i="2"/>
  <c r="AN29" i="2"/>
  <c r="AD29" i="2"/>
  <c r="AX28" i="2"/>
  <c r="AN28" i="2"/>
  <c r="AD28" i="2"/>
  <c r="AX27" i="2"/>
  <c r="AN27" i="2"/>
  <c r="AD27" i="2"/>
  <c r="AY27" i="2" s="1"/>
  <c r="AX26" i="2"/>
  <c r="AN26" i="2"/>
  <c r="AD26" i="2"/>
  <c r="AX25" i="2"/>
  <c r="AN25" i="2"/>
  <c r="AD25" i="2"/>
  <c r="AY25" i="2" s="1"/>
  <c r="AX24" i="2"/>
  <c r="AN24" i="2"/>
  <c r="AD24" i="2"/>
  <c r="AX23" i="2"/>
  <c r="AN23" i="2"/>
  <c r="AD23" i="2"/>
  <c r="AY23" i="2" s="1"/>
  <c r="AX22" i="2"/>
  <c r="AN22" i="2"/>
  <c r="AD22" i="2"/>
  <c r="AX21" i="2"/>
  <c r="AN21" i="2"/>
  <c r="AD21" i="2"/>
  <c r="AY21" i="2" s="1"/>
  <c r="AX20" i="2"/>
  <c r="AN20" i="2"/>
  <c r="AD20" i="2"/>
  <c r="AX19" i="2"/>
  <c r="AN19" i="2"/>
  <c r="AD19" i="2"/>
  <c r="AY19" i="2" s="1"/>
  <c r="AX18" i="2"/>
  <c r="AN18" i="2"/>
  <c r="AD18" i="2"/>
  <c r="AX17" i="2"/>
  <c r="AN17" i="2"/>
  <c r="AD17" i="2"/>
  <c r="AY17" i="2" s="1"/>
  <c r="AX16" i="2"/>
  <c r="AN16" i="2"/>
  <c r="AD16" i="2"/>
  <c r="AX15" i="2"/>
  <c r="AN15" i="2"/>
  <c r="AD15" i="2"/>
  <c r="AY15" i="2" s="1"/>
  <c r="AX14" i="2"/>
  <c r="AN14" i="2"/>
  <c r="AD14" i="2"/>
  <c r="AX13" i="2"/>
  <c r="AN13" i="2"/>
  <c r="AD13" i="2"/>
  <c r="AY13" i="2" s="1"/>
  <c r="AX12" i="2"/>
  <c r="AN12" i="2"/>
  <c r="AD12" i="2"/>
  <c r="AX11" i="2"/>
  <c r="AN11" i="2"/>
  <c r="AD11" i="2"/>
  <c r="AY11" i="2" s="1"/>
  <c r="AX10" i="2"/>
  <c r="AN10" i="2"/>
  <c r="AD10" i="2"/>
  <c r="AX9" i="2"/>
  <c r="AN9" i="2"/>
  <c r="AD9" i="2"/>
  <c r="AY9" i="2" s="1"/>
  <c r="AX8" i="2"/>
  <c r="AN8" i="2"/>
  <c r="AD8" i="2"/>
  <c r="AX7" i="2"/>
  <c r="AN7" i="2"/>
  <c r="AD7" i="2"/>
  <c r="AY7" i="2" s="1"/>
  <c r="AX6" i="2"/>
  <c r="AN6" i="2"/>
  <c r="AD6" i="2"/>
  <c r="AX5" i="2"/>
  <c r="AD5" i="2"/>
  <c r="AY5" i="2" s="1"/>
  <c r="AX4" i="2"/>
  <c r="AN4" i="2"/>
  <c r="AD4" i="2"/>
  <c r="AX3" i="2"/>
  <c r="AN3" i="2"/>
  <c r="AD3" i="2"/>
  <c r="AY3" i="2" s="1"/>
  <c r="AY29" i="2" l="1"/>
  <c r="AY4" i="2"/>
  <c r="AY6" i="2"/>
  <c r="AY8" i="2"/>
  <c r="AY10" i="2"/>
  <c r="AY12" i="2"/>
  <c r="AY14" i="2"/>
  <c r="AY16" i="2"/>
  <c r="AY18" i="2"/>
  <c r="AY20" i="2"/>
  <c r="AY22" i="2"/>
  <c r="AY24" i="2"/>
  <c r="AY26" i="2"/>
  <c r="AY28" i="2"/>
  <c r="AY30" i="2"/>
  <c r="AY32" i="2"/>
  <c r="AY34" i="2"/>
  <c r="AY36" i="2"/>
  <c r="AY38" i="2"/>
  <c r="AY40" i="2"/>
  <c r="AY42" i="2"/>
  <c r="AY44" i="2"/>
  <c r="AY46" i="2"/>
  <c r="AY48" i="2"/>
  <c r="AY50" i="2"/>
  <c r="AY52" i="2"/>
  <c r="AY54" i="2"/>
  <c r="AY56" i="2"/>
  <c r="AY58" i="2"/>
  <c r="AY60" i="2"/>
</calcChain>
</file>

<file path=xl/sharedStrings.xml><?xml version="1.0" encoding="utf-8"?>
<sst xmlns="http://schemas.openxmlformats.org/spreadsheetml/2006/main" count="199" uniqueCount="175">
  <si>
    <t>Duty명</t>
    <phoneticPr fontId="2" type="noConversion"/>
  </si>
  <si>
    <t>Tasks</t>
    <phoneticPr fontId="2" type="noConversion"/>
  </si>
  <si>
    <t>K</t>
    <phoneticPr fontId="2" type="noConversion"/>
  </si>
  <si>
    <t>S</t>
    <phoneticPr fontId="2" type="noConversion"/>
  </si>
  <si>
    <t>A</t>
    <phoneticPr fontId="2" type="noConversion"/>
  </si>
  <si>
    <t>상권조사 및 분석
(특정 상권의 일반적 현황을 정량적, 정성적으로 분석하여 해당 상권의 활성화에 대한 방향성을 설정한다.)</t>
    <phoneticPr fontId="2" type="noConversion"/>
  </si>
  <si>
    <t>A-1.특정 상권 수요조사 분석하기(소비자구매 행태 조사 분석 등)</t>
    <phoneticPr fontId="2" type="noConversion"/>
  </si>
  <si>
    <t>A-2.소비자 만족도 분석하기</t>
    <phoneticPr fontId="2" type="noConversion"/>
  </si>
  <si>
    <t>A-3.상권 및 지역 특성 조사하기(지역 인구, 지리적 문화적 특성 등)</t>
    <phoneticPr fontId="2" type="noConversion"/>
  </si>
  <si>
    <t>A-4.상인 조직 및 점포 역량 분석하기(매출액, ROI, 고객관계관리, 서비스 수준, SWOT 분석, STP 분석)</t>
    <phoneticPr fontId="2" type="noConversion"/>
  </si>
  <si>
    <t>B</t>
    <phoneticPr fontId="2" type="noConversion"/>
  </si>
  <si>
    <t>상권활성화 기획
(조사분석결과를 토대로 특정 상권의 활성화전략과 모델을 구체화하여 제시하고 경쟁상권대비 차별화전략과 수익모델을 구축하여 지속가능성과 사후관리를 고려한 사업계획을 수립한다)</t>
    <phoneticPr fontId="2" type="noConversion"/>
  </si>
  <si>
    <t>B-1.사업범위 정의하기</t>
    <phoneticPr fontId="2" type="noConversion"/>
  </si>
  <si>
    <t>B-2.경쟁전략 분석하여 비즈니스모델 구축하기</t>
    <phoneticPr fontId="2" type="noConversion"/>
  </si>
  <si>
    <t>B-4.사후관리계획 수립하기</t>
    <phoneticPr fontId="2" type="noConversion"/>
  </si>
  <si>
    <t>C</t>
    <phoneticPr fontId="2" type="noConversion"/>
  </si>
  <si>
    <t>상권활성화 사업수행 및 관리
(조사,분석을 통하여 수립된 상권활성화 사업계획을 구체화하여 최대한의 성과를 도출하도록 수행 및 관리한다.)</t>
    <phoneticPr fontId="2" type="noConversion"/>
  </si>
  <si>
    <t>C-1.마케팅 계획 실행하기</t>
    <phoneticPr fontId="2" type="noConversion"/>
  </si>
  <si>
    <t>C-2.분야별 조달관리하기</t>
    <phoneticPr fontId="2" type="noConversion"/>
  </si>
  <si>
    <t>C-3.창업정보 제공 및 창업 지원하기</t>
    <phoneticPr fontId="2" type="noConversion"/>
  </si>
  <si>
    <t>C-4.사업 이해관계자 의사소통 관리하기(업체관리 등)</t>
    <phoneticPr fontId="2" type="noConversion"/>
  </si>
  <si>
    <t>C-5.사업 수행 리스크 관리하기</t>
    <phoneticPr fontId="2" type="noConversion"/>
  </si>
  <si>
    <t>C-6.사업계획 및 일정 변경 관리하기</t>
    <phoneticPr fontId="2" type="noConversion"/>
  </si>
  <si>
    <t>C-7.사업운영 팀 인력 관리하기</t>
    <phoneticPr fontId="2" type="noConversion"/>
  </si>
  <si>
    <t>C-8.사업 예산 집행 및 원가 관리하기</t>
    <phoneticPr fontId="2" type="noConversion"/>
  </si>
  <si>
    <t>C-9.사업 성과 관리하기</t>
    <phoneticPr fontId="2" type="noConversion"/>
  </si>
  <si>
    <t>Elements</t>
    <phoneticPr fontId="2" type="noConversion"/>
  </si>
  <si>
    <t>중요도</t>
    <phoneticPr fontId="2" type="noConversion"/>
  </si>
  <si>
    <t>난이도</t>
    <phoneticPr fontId="2" type="noConversion"/>
  </si>
  <si>
    <t>작업빈도</t>
    <phoneticPr fontId="2" type="noConversion"/>
  </si>
  <si>
    <t>곽</t>
    <phoneticPr fontId="2" type="noConversion"/>
  </si>
  <si>
    <t>유</t>
    <phoneticPr fontId="2" type="noConversion"/>
  </si>
  <si>
    <t>상권범위에서 발생하는 소상공인 업종별 또는 업종전체에 대한 소비자의 수요를 추정할 수 있다</t>
    <phoneticPr fontId="2" type="noConversion"/>
  </si>
  <si>
    <t>상권의 기존 및 잠재고객들의 구매상황(품목별 구매비중, 지출액수준 등)을 도출할 수 있다</t>
    <phoneticPr fontId="2" type="noConversion"/>
  </si>
  <si>
    <t>설문조사를 통한 인구통계적 특성에 따른 수요분석을 해석할 수 있다</t>
    <phoneticPr fontId="2" type="noConversion"/>
  </si>
  <si>
    <t>기존 고객들을 대상으로 특정상권의 상인, 상품, 서비스 수준에 대한 고객만족수준을 파악할 수 있다</t>
    <phoneticPr fontId="2" type="noConversion"/>
  </si>
  <si>
    <t>상권의 상인 및 점포에 대한 고객들의 만족, 불만족, 개선사항, 대안에 대한 유혀한 방향을 설정할 수 있다</t>
    <phoneticPr fontId="2" type="noConversion"/>
  </si>
  <si>
    <t>고객만족도의 추이를 분석하여 성과지표에 미치는 영향과 상관관계를 파악하여 사업계획과 수행에 반영할 수 있다</t>
    <phoneticPr fontId="2" type="noConversion"/>
  </si>
  <si>
    <t>상권지역의 사회문화적특성 등에 대한 자료를 추출할 수 있다</t>
    <phoneticPr fontId="2" type="noConversion"/>
  </si>
  <si>
    <t>상권지역의 지리적특성에 대한 자료를 추출할 수 있다</t>
    <phoneticPr fontId="2" type="noConversion"/>
  </si>
  <si>
    <t>상권지역의 인구통계특성 등에 대한 자료를 추출할 수 있다</t>
    <phoneticPr fontId="2" type="noConversion"/>
  </si>
  <si>
    <t>상권내 점포들(개별 또는 업종별)의 매출액, 고객수 추이, 수익분석자료, 고객서비스수준 등에 대한 파악을 할 수 있다</t>
    <phoneticPr fontId="2" type="noConversion"/>
  </si>
  <si>
    <t>상권의 고객분석을 통해 고객세분화, 타켓층, 활성화 포지셔닝을 할 수 있다</t>
    <phoneticPr fontId="2" type="noConversion"/>
  </si>
  <si>
    <t>상권의 내, 외부 분석자료들을 활용하여 SWOT 분석을 할 수 있다</t>
    <phoneticPr fontId="2" type="noConversion"/>
  </si>
  <si>
    <t>상인조직의 조직력 및 상인회장의 리더쉽 등에 대한 파악을 할 수 있다</t>
    <phoneticPr fontId="2" type="noConversion"/>
  </si>
  <si>
    <t>사업의 운영세칙 등을 바탕으로 사업의 (수행작업 및 제외작업) 범위를 정의할 수 있다.</t>
  </si>
  <si>
    <t>사업에 따른 목표와 요구사항을(산출물의 범위) 파악할 수 있다.</t>
  </si>
  <si>
    <t>사업의 (목표를 달성하고 인도물을 산출하기 위해) 단위사업과 세부사업들을 체계화 할 수  있다</t>
  </si>
  <si>
    <t>(상권) 분석을 토대로 시장의 고객관계 및 마케팅 전략을 수립할 수 있다.</t>
  </si>
  <si>
    <t>상권분석을 통해 경쟁상권과의 차별화 전략을(수익모델) 수립할 수 있다.</t>
  </si>
  <si>
    <t>수익모델을 기반으로 단위사업별 비즈니스모델을 구축할 수 있다.</t>
  </si>
  <si>
    <t>B-3.액션플랜 수립하기</t>
    <phoneticPr fontId="2" type="noConversion"/>
  </si>
  <si>
    <t>사업을 진단하고 특화된 사업의 수행계획을 수립할 수 있다.</t>
  </si>
  <si>
    <t>단위사업을 이해하고 단위사업별 세부계획을 도출할 수 있다.</t>
  </si>
  <si>
    <t>세부계획 실현을 위해 알맞은 마케팅 및 운영계획을 수립할 수 있다.</t>
  </si>
  <si>
    <t>사업관계자들의 역할분담을 통한 사후관리계획을 수립하고 적용시킬 수 있다.</t>
  </si>
  <si>
    <t>세부사업별 성과를 수집하고 성과품 인수인계서를 작성할 수 있다</t>
  </si>
  <si>
    <t>성과평가보고서를 작성하고 이해관계자(지자체, 공단)에게 제출할 수 있다.</t>
  </si>
  <si>
    <t>수립된 활성화 사업 수행 계획에 맞도록 상권의 마케팅 컨셉을 정립할 수 있다</t>
    <phoneticPr fontId="2" type="noConversion"/>
  </si>
  <si>
    <t>마케팅 컨셉에 따른 상권의 마케팅 자원들을 수립, 분류할 수 있다.</t>
    <phoneticPr fontId="2" type="noConversion"/>
  </si>
  <si>
    <t>마케팅 자원들을 기반으로 상권 특성에 맞는 방안을 실행할 수 있다.</t>
    <phoneticPr fontId="2" type="noConversion"/>
  </si>
  <si>
    <t>매체 특성에 맞는 마케팅 실행 방안을 실행할 수 있다.</t>
    <phoneticPr fontId="2" type="noConversion"/>
  </si>
  <si>
    <t>사업 분야에 따라 과업지시서 및 제안요청서(RFP)를 작성할 수 있다.</t>
    <phoneticPr fontId="2" type="noConversion"/>
  </si>
  <si>
    <t>나라장터 등 조달관리 시스템을 활용하여 조달계약 업무를 수행할 수 있다.</t>
    <phoneticPr fontId="2" type="noConversion"/>
  </si>
  <si>
    <t>계약대상자 선정을 위한 평가지표를 설계하고 평가를 수행할 수 있다.</t>
    <phoneticPr fontId="2" type="noConversion"/>
  </si>
  <si>
    <t xml:space="preserve">조달업체 선정 이후 사업 수행 계획을 실행하고 관리할 수 있다. </t>
    <phoneticPr fontId="2" type="noConversion"/>
  </si>
  <si>
    <t>상권 내 점포들의 창업 과정에 필요한 행정,위생,,인허가 등 법률 사항들을 파악하고 전달할 수 있다.</t>
    <phoneticPr fontId="2" type="noConversion"/>
  </si>
  <si>
    <t>상권의 향후 활성화 사업 전개 방향에 부합하는 창업 정보를 제공할 수 있다.</t>
    <phoneticPr fontId="2" type="noConversion"/>
  </si>
  <si>
    <t>지자체, 상인회, 협력업체 등 이해관계자의 수요를 파악하여 사업에 반영할 수 있다.</t>
    <phoneticPr fontId="2" type="noConversion"/>
  </si>
  <si>
    <t>사업 수행을 위한 이해관계자 회의를 조직하고 운영할 수 있다</t>
    <phoneticPr fontId="2" type="noConversion"/>
  </si>
  <si>
    <t>이해관계자를 그룹화하고 이를 조직화 할 수 있다</t>
    <phoneticPr fontId="2" type="noConversion"/>
  </si>
  <si>
    <t>이해관계자간의 갈등을 구분하고 대응메뉴얼을 제시할 수 있다</t>
    <phoneticPr fontId="2" type="noConversion"/>
  </si>
  <si>
    <t>온라인설문, SNS도구 등을 이용하여 수시 설문조사, 이슈공유 등 커뮤니케이션 스킬이 있다.</t>
    <phoneticPr fontId="2" type="noConversion"/>
  </si>
  <si>
    <t>사업 수행의 위험요소를 예측하고 분석할 수 있다.</t>
    <phoneticPr fontId="2" type="noConversion"/>
  </si>
  <si>
    <t>리스크 발생에 따른 유, 무형의 손실 요인들을 파악하고 이에 대처할 수 있다.</t>
    <phoneticPr fontId="2" type="noConversion"/>
  </si>
  <si>
    <t>예측 분석된 위험 요소에 대한 대응전략을 수립하고 사전에 대비할 수 있다.</t>
    <phoneticPr fontId="2" type="noConversion"/>
  </si>
  <si>
    <t>예상되는 민원 등에 대한 대응책을 제시할 수 있다</t>
    <phoneticPr fontId="2" type="noConversion"/>
  </si>
  <si>
    <t>문제발생시 처리가능한 인적, 물적 네트웍에 대한 지식, 경험이 있다.</t>
    <phoneticPr fontId="2" type="noConversion"/>
  </si>
  <si>
    <t>사업 수행 일정, 예산, 환경의 변화에 따라 계획을 변경하고 관리할 수 있다.</t>
    <phoneticPr fontId="2" type="noConversion"/>
  </si>
  <si>
    <t>계획 및 일정 변경에 따른 발주업체와의 의사 소통을 원할히 진행할 수 있다.</t>
    <phoneticPr fontId="2" type="noConversion"/>
  </si>
  <si>
    <t>계획 및 일정 변경의 타당성에 대한 사전 검증을 실행할 수 있다.</t>
    <phoneticPr fontId="2" type="noConversion"/>
  </si>
  <si>
    <t>일정관리의 문제를 예견하고 대응책을 제시할 수 있다</t>
    <phoneticPr fontId="2" type="noConversion"/>
  </si>
  <si>
    <t>사업단 등 수행팀 운영을 위한 인사, 노무관리 업무를 수행할 수 있다.</t>
    <phoneticPr fontId="2" type="noConversion"/>
  </si>
  <si>
    <t>사업단 등 수행팀 운영울 위한 회의운영 등 의사소통 관리를 할 수 있다.</t>
    <phoneticPr fontId="2" type="noConversion"/>
  </si>
  <si>
    <t>사업단 등 수행팀 조직을 위한 인력 수립 계획에 맞춰 대상 인원을 선발할 수 있다.</t>
    <phoneticPr fontId="2" type="noConversion"/>
  </si>
  <si>
    <t>원가분석에 따라 사업예산을 적절하게 편성할 수 있다.</t>
    <phoneticPr fontId="2" type="noConversion"/>
  </si>
  <si>
    <t>사업 예산 집행을 위한 회계관리 시스템(이나라도움 등)을 활용할 수 있다.</t>
    <phoneticPr fontId="2" type="noConversion"/>
  </si>
  <si>
    <t>사업 예산을 항목별로 타당하게 집행할 수 있다.</t>
    <phoneticPr fontId="2" type="noConversion"/>
  </si>
  <si>
    <t>사업 성과 평가에 따른 관련 보고 사항들을 정리, 제출할 수 있다.</t>
    <phoneticPr fontId="2" type="noConversion"/>
  </si>
  <si>
    <t>사업 성과 평가에 따른 평가 지표들에 대해 파악하고 관련 자료들을 정리할 수 있다.</t>
    <phoneticPr fontId="2" type="noConversion"/>
  </si>
  <si>
    <t>분야별 사업의 성공요인과 실패요인을 분석 할 수 있다.</t>
    <phoneticPr fontId="2" type="noConversion"/>
  </si>
  <si>
    <t>빈도</t>
    <phoneticPr fontId="2" type="noConversion"/>
  </si>
  <si>
    <t>평균</t>
    <phoneticPr fontId="2" type="noConversion"/>
  </si>
  <si>
    <t>기초역량</t>
    <phoneticPr fontId="2" type="noConversion"/>
  </si>
  <si>
    <t>정의</t>
    <phoneticPr fontId="2" type="noConversion"/>
  </si>
  <si>
    <t>기획력</t>
    <phoneticPr fontId="2" type="noConversion"/>
  </si>
  <si>
    <t>이해관계자의 Needs에 맞도록 활동의 목표와 달성수단, 일정계획 등을 설정하고 창의적인 아이디어와  기회를 발굴하여 구체적인 활동으로 옮긴다.</t>
  </si>
  <si>
    <t>고객지향</t>
    <phoneticPr fontId="2" type="noConversion"/>
  </si>
  <si>
    <t>고객인 이해관계자의 니즈를 이해하고 그 니즈에 대해 시의 적절하고 더 높은 만족을 주는 방향으로 대응한다.</t>
    <phoneticPr fontId="2" type="noConversion"/>
  </si>
  <si>
    <t>의사결정</t>
    <phoneticPr fontId="2" type="noConversion"/>
  </si>
  <si>
    <t>잦은 의견 교환과 주의 깊은 관찰을 통해 객관적 자료를 수집하고, 체계적 논리와 구체적인  사례를 근거로 신속/정확하게 타당한 결론을 내린다.</t>
    <phoneticPr fontId="2" type="noConversion"/>
  </si>
  <si>
    <t>정보력</t>
    <phoneticPr fontId="2" type="noConversion"/>
  </si>
  <si>
    <t>각종 문제해결 및 의사결정 등에 유용한 의견, 사실 등의 정보를 수집,분석하고 그 결과를 효율적으로  활용하기 위한 구체적인 실행방안을 수립한다.</t>
  </si>
  <si>
    <t>성과관리</t>
    <phoneticPr fontId="2" type="noConversion"/>
  </si>
  <si>
    <t>업무 수행결과를 정해진 목표의 달성 정도와 조직 단위별로 성과 창출에 대한 기여도에 따라  공정하고 합리적으로 평가하며, 그 결과를 주기적이고 신속하게 피드백함으로써 지속적인 성과개선을  유도한다.</t>
  </si>
  <si>
    <t>의사소통</t>
    <phoneticPr fontId="2" type="noConversion"/>
  </si>
  <si>
    <t>상대방의 의견을 적극적으로 경청하고, 적절하게 반응하여 상호 신뢰관계를 구축함으로써  조직 또는 조직 구성원간의 원활한 의사소통이 가능하도록 한다.</t>
    <phoneticPr fontId="2" type="noConversion"/>
  </si>
  <si>
    <t>문제해결력</t>
    <phoneticPr fontId="2" type="noConversion"/>
  </si>
  <si>
    <t>제한된 시간 내에 가능한 대안을 최대한 동원하여 대응한다. 돌발적인 상황에 직면했을 때 단호하고  신속하게 대처한다.</t>
    <phoneticPr fontId="2" type="noConversion"/>
  </si>
  <si>
    <t>요구분석력</t>
    <phoneticPr fontId="2" type="noConversion"/>
  </si>
  <si>
    <t xml:space="preserve">내외부 커뮤니케이션을 통해 정보를 취합하고, 이해관계자의 요구사항을 구체적으로 수렴, 분석하며, 이슈 발생시 신속하고 정확하게 변경, 대응함으로써, 최적의 안을 도출함 </t>
    <phoneticPr fontId="2" type="noConversion"/>
  </si>
  <si>
    <t>프로세스관리</t>
    <phoneticPr fontId="2" type="noConversion"/>
  </si>
  <si>
    <r>
      <rPr>
        <sz val="12"/>
        <color rgb="FF000000"/>
        <rFont val="Malgun Gothic"/>
        <family val="2"/>
        <charset val="129"/>
      </rPr>
      <t>업무수행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프로세스와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진척도를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주기적으로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확인</t>
    </r>
    <r>
      <rPr>
        <sz val="12"/>
        <color rgb="FF000000"/>
        <rFont val="Times New Roman"/>
        <family val="1"/>
      </rPr>
      <t xml:space="preserve">, </t>
    </r>
    <r>
      <rPr>
        <sz val="12"/>
        <color rgb="FF000000"/>
        <rFont val="Malgun Gothic"/>
        <family val="2"/>
        <charset val="129"/>
      </rPr>
      <t>점검</t>
    </r>
    <r>
      <rPr>
        <sz val="12"/>
        <color rgb="FF000000"/>
        <rFont val="Times New Roman"/>
        <family val="1"/>
      </rPr>
      <t xml:space="preserve">, </t>
    </r>
    <r>
      <rPr>
        <sz val="12"/>
        <color rgb="FF000000"/>
        <rFont val="Malgun Gothic"/>
        <family val="2"/>
        <charset val="129"/>
      </rPr>
      <t>기록해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효율적인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수행과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더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나은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성과를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Malgun Gothic"/>
        <family val="2"/>
        <charset val="129"/>
      </rPr>
      <t>유도한다</t>
    </r>
    <r>
      <rPr>
        <sz val="12"/>
        <color rgb="FF000000"/>
        <rFont val="Times New Roman"/>
        <family val="1"/>
      </rPr>
      <t xml:space="preserve">. </t>
    </r>
    <r>
      <rPr>
        <sz val="12"/>
        <color rgb="FF000000"/>
        <rFont val="Malgun Gothic"/>
        <family val="2"/>
        <charset val="129"/>
      </rPr>
      <t>과업과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결과의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관계를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염두에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두고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전체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Malgun Gothic"/>
        <family val="2"/>
        <charset val="129"/>
      </rPr>
      <t>프로세스를</t>
    </r>
    <r>
      <rPr>
        <sz val="12"/>
        <color rgb="FF000000"/>
        <rFont val="Noto Sans CJK JP Regular"/>
      </rPr>
      <t xml:space="preserve"> </t>
    </r>
    <r>
      <rPr>
        <sz val="12"/>
        <color rgb="FF000000"/>
        <rFont val="Malgun Gothic"/>
        <family val="2"/>
        <charset val="129"/>
      </rPr>
      <t>인지한다</t>
    </r>
    <r>
      <rPr>
        <sz val="12"/>
        <color rgb="FF000000"/>
        <rFont val="Times New Roman"/>
        <family val="1"/>
      </rPr>
      <t>.</t>
    </r>
    <phoneticPr fontId="2" type="noConversion"/>
  </si>
  <si>
    <t>상권이론, 소상공인업종론, 소비자행동론, 통계학, 수요예측 이론</t>
    <phoneticPr fontId="2" type="noConversion"/>
  </si>
  <si>
    <t>수요예측 기법, 상권지도 판독기법, 상권정보시스템 활용기법, 데이터 분석기법, 통계처리기법, 인터뷰스킬, FGI활용기법, 기대만족도 평가기법(IPA), 엑셀활용기법</t>
    <phoneticPr fontId="2" type="noConversion"/>
  </si>
  <si>
    <t>기획력, 고객지향, 의사결정, 정보력</t>
    <phoneticPr fontId="2" type="noConversion"/>
  </si>
  <si>
    <t>소비자행동론, 통계학, 소비트래드, 마케팅이론</t>
    <phoneticPr fontId="2" type="noConversion"/>
  </si>
  <si>
    <t>설문지 작성 및 분석기법, 데이터분석기법, 통계처리기법, 인터뷰스킬, FGI활용기법, 기대만족도 평가기법(IPA), 엑셀활용기법</t>
    <phoneticPr fontId="2" type="noConversion"/>
  </si>
  <si>
    <t>기획력, 고객지향, 정보력, 요구분석력</t>
    <phoneticPr fontId="2" type="noConversion"/>
  </si>
  <si>
    <t>상권이론, 빅데이터 관련지식, 인문사회문화지리적 지식</t>
    <phoneticPr fontId="2" type="noConversion"/>
  </si>
  <si>
    <t>상권정보시스템활용기법, 데이터분석기법, 리서치기법</t>
    <phoneticPr fontId="2" type="noConversion"/>
  </si>
  <si>
    <t>정보력</t>
    <phoneticPr fontId="2" type="noConversion"/>
  </si>
  <si>
    <t>내부역량평가 이론(IVC), STP 지식, 내외부환경분석 이론(SWOT)</t>
    <phoneticPr fontId="2" type="noConversion"/>
  </si>
  <si>
    <t>기획력, 의사결정, 정보력</t>
    <phoneticPr fontId="2" type="noConversion"/>
  </si>
  <si>
    <t>상품기획 및 개발론, 가격 설정 이론, 판로 개척 이론, 홍보 및 판촉 이론, 사업 환경 분석론, 고객 관계 관리론, 고객 세분화 전략, 타겟 설정 이론, 포지셔닝 전략, 고객 커뮤니케이션 이론, 소비자 행동론</t>
    <phoneticPr fontId="2" type="noConversion"/>
  </si>
  <si>
    <t>보도자료 작성법, 마케팅메시지 작성법, 홍보기획안 작성법, SWOT 분석, STP 분석</t>
    <phoneticPr fontId="2" type="noConversion"/>
  </si>
  <si>
    <t>고객 지향, 의사결정, 문제 해결</t>
    <phoneticPr fontId="2" type="noConversion"/>
  </si>
  <si>
    <t>C-2.분야별 조달관리하기</t>
    <phoneticPr fontId="2" type="noConversion"/>
  </si>
  <si>
    <t>조달 시스템의 이해, 계약 관련 법규, 입찰 관련 절차 및 방법, 계약 실무 이론, 심사 및 평가 방법</t>
    <phoneticPr fontId="2" type="noConversion"/>
  </si>
  <si>
    <t>제안요청서 작성법, 입찰공고 및 평가선정기법, 나라장터시스템활용법, 과제 평가 방법, 계약서 작성방법</t>
    <phoneticPr fontId="2" type="noConversion"/>
  </si>
  <si>
    <t>요구 분석, 프로세스 관리, 의사결정</t>
    <phoneticPr fontId="2" type="noConversion"/>
  </si>
  <si>
    <t>C-3.창업정보 제공 및 창업 지원하기</t>
    <phoneticPr fontId="2" type="noConversion"/>
  </si>
  <si>
    <t xml:space="preserve">창업 지원제도의 이해, 창업 관련 법규 및 규제 (각종 인허가와 식품 위생법 등), 창업 관련 행정 실무 프로세스 (세무, 회계), </t>
    <phoneticPr fontId="2" type="noConversion"/>
  </si>
  <si>
    <t xml:space="preserve">상담 기법, 정보 검색 및 활용법, 수익성 및 사업 타당성 분석 기법 </t>
    <phoneticPr fontId="2" type="noConversion"/>
  </si>
  <si>
    <t>정보력, 의사결정, 문제 해결</t>
    <phoneticPr fontId="2" type="noConversion"/>
  </si>
  <si>
    <t>C-4.사업 이해관계자 의사소통 관리하기(업체관리 등)</t>
    <phoneticPr fontId="2" type="noConversion"/>
  </si>
  <si>
    <t xml:space="preserve">협의체 조직의 이해, 조사 방법론, 기관 및 단체의 특성 이해 </t>
    <phoneticPr fontId="2" type="noConversion"/>
  </si>
  <si>
    <t>상담등 대응메뉴얼작성법, 온라인설문기법, 회의체운영기법</t>
    <phoneticPr fontId="2" type="noConversion"/>
  </si>
  <si>
    <t>의사소통, 프로세스 관리, 고객 지향</t>
    <phoneticPr fontId="2" type="noConversion"/>
  </si>
  <si>
    <t xml:space="preserve">사업 환경 분석 이론, 프로젝트 관리 이론 (조직 관리, 일정 관리, 비용 관리), </t>
  </si>
  <si>
    <t>프로젝트관리도구활용법, 커뮤니케이션기법</t>
    <phoneticPr fontId="2" type="noConversion"/>
  </si>
  <si>
    <t>프로세스 관리, 요구 분석, 의사결정</t>
    <phoneticPr fontId="2" type="noConversion"/>
  </si>
  <si>
    <t>C-6.사업계획 변경 수행하기</t>
    <phoneticPr fontId="2" type="noConversion"/>
  </si>
  <si>
    <t>계약 법규, 사업 관리자 통제 및 커뮤니케이션, 프로젝트 변경 실무</t>
    <phoneticPr fontId="2" type="noConversion"/>
  </si>
  <si>
    <t xml:space="preserve">사업변경계획 수립 및 승인 절차, 사업관계자 커뮤니케이션, 예산변경 관리기법 </t>
    <phoneticPr fontId="2" type="noConversion"/>
  </si>
  <si>
    <t>의사결정, 문제 해결, 성과지향</t>
    <phoneticPr fontId="2" type="noConversion"/>
  </si>
  <si>
    <t>C-7.사업운영 팀 인력 관리하기</t>
    <phoneticPr fontId="2" type="noConversion"/>
  </si>
  <si>
    <t>의사결정, 의사소통, 성과지향</t>
    <phoneticPr fontId="2" type="noConversion"/>
  </si>
  <si>
    <t>E-나라도움 사용법, 사업비 회계관리 시스템 활용법</t>
    <phoneticPr fontId="2" type="noConversion"/>
  </si>
  <si>
    <t>성과지향, 프로세스 관리, 요구 분석</t>
    <phoneticPr fontId="2" type="noConversion"/>
  </si>
  <si>
    <t>C-9.사업 성과 관리하기</t>
    <phoneticPr fontId="2" type="noConversion"/>
  </si>
  <si>
    <t xml:space="preserve">성과관리의 기초, 평가 척도 및 항목의 이해, </t>
    <phoneticPr fontId="2" type="noConversion"/>
  </si>
  <si>
    <t>통계 패키지사용법, 경영평가 공시스템 사용법, 재무제표의 이해, E-나라도움 정보공시 이용법</t>
    <phoneticPr fontId="2" type="noConversion"/>
  </si>
  <si>
    <t>성과지향, 프로세스 관리, 정보력</t>
    <phoneticPr fontId="2" type="noConversion"/>
  </si>
  <si>
    <t>설문기법, 인터뷰스킬, 사업기획서작성법
문서정리기술, 요구사항 분석기법</t>
    <phoneticPr fontId="2" type="noConversion"/>
  </si>
  <si>
    <t>기획력, 고객지향, 의사결정, 정보력, 성과지향, 
요구분석</t>
    <phoneticPr fontId="2" type="noConversion"/>
  </si>
  <si>
    <t>고객관계관리론, 마케팅전략, 소비자행동론, 
경영전략, 비즈니스모델링 프로젝트</t>
    <phoneticPr fontId="2" type="noConversion"/>
  </si>
  <si>
    <t>SWOT기법, 통계처리기술, MKT전략보고서 작성</t>
    <phoneticPr fontId="2" type="noConversion"/>
  </si>
  <si>
    <t>기획력, 고객지향, 의사결정, 정보력, 성과지향, 
의사소통, 문제해결, 요구분석, 프로세스관리</t>
    <phoneticPr fontId="2" type="noConversion"/>
  </si>
  <si>
    <t>광고홍보이론, 사업수행계획서, 원가분석,
마케팅믹스, 프로젝트 관리방법론, 성과평가의히애
마일스톤 이해</t>
    <phoneticPr fontId="2" type="noConversion"/>
  </si>
  <si>
    <t>예산수립, 일정관리, 사업타당성분석, 커뮤니케이션</t>
    <phoneticPr fontId="2" type="noConversion"/>
  </si>
  <si>
    <t>프로젝트 인수인계, 
특화사업에 대한 지식, 성과평가시스템의 이해</t>
    <phoneticPr fontId="2" type="noConversion"/>
  </si>
  <si>
    <t>만족도분석TOOL사용, 성과지표 관리기법
프로젝트관리 도구활용법, 통계처리 기술</t>
    <phoneticPr fontId="2" type="noConversion"/>
  </si>
  <si>
    <t>의사결정, 정보력, 성과지향, 
의사소통, 문제해결, 요구분석</t>
    <phoneticPr fontId="2" type="noConversion"/>
  </si>
  <si>
    <t>A-1.특정 상권 수요조사 분석하기(소비자구매 행태 조사 분석 등)</t>
    <phoneticPr fontId="2" type="noConversion"/>
  </si>
  <si>
    <t>B-2.비즈니스모델 구축하기</t>
    <phoneticPr fontId="2" type="noConversion"/>
  </si>
  <si>
    <t>내부역량평가기법, 데이터분석이론, STP분석기법, SWOT분석기법, 리서치기법</t>
    <phoneticPr fontId="2" type="noConversion"/>
  </si>
  <si>
    <t>A-4. 상권역량 분석하기</t>
    <phoneticPr fontId="2" type="noConversion"/>
  </si>
  <si>
    <t>A-3.상권 및 지역 특성 조사하기</t>
    <phoneticPr fontId="2" type="noConversion"/>
  </si>
  <si>
    <t>B-3.액션플랜 수립하기</t>
    <phoneticPr fontId="2" type="noConversion"/>
  </si>
  <si>
    <t>회의체운영방법, 근로계약서 작성법, 채용플랫폼활용법, EDI 시스템 활용법</t>
    <phoneticPr fontId="2" type="noConversion"/>
  </si>
  <si>
    <t>프로젝트의 이해, 상권이론, 요구분석</t>
    <phoneticPr fontId="2" type="noConversion"/>
  </si>
  <si>
    <t>관리회계, 예산 수립 및 결산</t>
    <phoneticPr fontId="2" type="noConversion"/>
  </si>
  <si>
    <t>C-8.사업 예산 집행 및 사업비 관리하기</t>
    <phoneticPr fontId="2" type="noConversion"/>
  </si>
  <si>
    <t>표준근로계약의이해(근로계약관련 법규)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</si>
</sst>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rgb="FF000000"/>
      <name val="+mn-ea"/>
    </font>
    <font>
      <sz val="12"/>
      <color theme="1"/>
      <name val="MalgunGothicRegular"/>
      <family val="2"/>
    </font>
    <font>
      <sz val="12"/>
      <color rgb="FF000000"/>
      <name val="+mn-ea"/>
      <family val="2"/>
      <charset val="129"/>
    </font>
    <font>
      <sz val="12"/>
      <color rgb="FF000000"/>
      <name val="Malgun Gothic"/>
      <family val="2"/>
      <charset val="129"/>
    </font>
    <font>
      <sz val="12"/>
      <color rgb="FF000000"/>
      <name val="Times New Roman"/>
      <family val="1"/>
    </font>
    <font>
      <sz val="12"/>
      <color rgb="FF000000"/>
      <name val="Noto Sans CJK JP Regular"/>
    </font>
    <font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0" borderId="1" xfId="0" applyBorder="1">
      <alignment vertical="center"/>
    </xf>
    <xf numFmtId="2" fontId="0" fillId="0" borderId="1" xfId="0" applyNumberFormat="1" applyBorder="1">
      <alignment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topLeftCell="A10" zoomScaleNormal="100" workbookViewId="0">
      <selection activeCell="D59" sqref="D59:D62"/>
    </sheetView>
  </sheetViews>
  <sheetFormatPr defaultColWidth="11.109375" defaultRowHeight="17.25"/>
  <cols>
    <col min="1" max="1" width="3" style="1" bestFit="1" customWidth="1"/>
    <col min="2" max="2" width="16.77734375" style="1" customWidth="1"/>
    <col min="3" max="3" width="25" style="1" customWidth="1"/>
    <col min="4" max="5" width="45.33203125" style="3" customWidth="1"/>
    <col min="6" max="6" width="36" style="3" customWidth="1"/>
  </cols>
  <sheetData>
    <row r="1" spans="1:6">
      <c r="B1" s="35" t="s">
        <v>0</v>
      </c>
      <c r="C1" s="35" t="s">
        <v>1</v>
      </c>
      <c r="D1" s="25" t="s">
        <v>2</v>
      </c>
      <c r="E1" s="25" t="s">
        <v>3</v>
      </c>
      <c r="F1" s="25" t="s">
        <v>4</v>
      </c>
    </row>
    <row r="2" spans="1:6">
      <c r="A2" s="2"/>
      <c r="B2" s="36"/>
      <c r="C2" s="36"/>
      <c r="D2" s="25"/>
      <c r="E2" s="25"/>
      <c r="F2" s="25"/>
    </row>
    <row r="3" spans="1:6" ht="37.9" customHeight="1">
      <c r="A3" s="19" t="s">
        <v>4</v>
      </c>
      <c r="B3" s="19" t="s">
        <v>5</v>
      </c>
      <c r="C3" s="37" t="s">
        <v>164</v>
      </c>
      <c r="D3" s="34" t="s">
        <v>113</v>
      </c>
      <c r="E3" s="34" t="s">
        <v>114</v>
      </c>
      <c r="F3" s="19" t="s">
        <v>115</v>
      </c>
    </row>
    <row r="4" spans="1:6">
      <c r="A4" s="20"/>
      <c r="B4" s="20"/>
      <c r="C4" s="38"/>
      <c r="D4" s="33"/>
      <c r="E4" s="33"/>
      <c r="F4" s="20"/>
    </row>
    <row r="5" spans="1:6">
      <c r="A5" s="20"/>
      <c r="B5" s="20"/>
      <c r="C5" s="39"/>
      <c r="D5" s="33"/>
      <c r="E5" s="33"/>
      <c r="F5" s="21"/>
    </row>
    <row r="6" spans="1:6" ht="37.9" customHeight="1">
      <c r="A6" s="20"/>
      <c r="B6" s="20"/>
      <c r="C6" s="26" t="s">
        <v>7</v>
      </c>
      <c r="D6" s="33" t="s">
        <v>116</v>
      </c>
      <c r="E6" s="33" t="s">
        <v>117</v>
      </c>
      <c r="F6" s="22" t="s">
        <v>118</v>
      </c>
    </row>
    <row r="7" spans="1:6">
      <c r="A7" s="20"/>
      <c r="B7" s="20"/>
      <c r="C7" s="27"/>
      <c r="D7" s="33"/>
      <c r="E7" s="33"/>
      <c r="F7" s="23"/>
    </row>
    <row r="8" spans="1:6">
      <c r="A8" s="20"/>
      <c r="B8" s="20"/>
      <c r="C8" s="28"/>
      <c r="D8" s="33"/>
      <c r="E8" s="33"/>
      <c r="F8" s="24"/>
    </row>
    <row r="9" spans="1:6" ht="37.9" customHeight="1">
      <c r="A9" s="20"/>
      <c r="B9" s="20"/>
      <c r="C9" s="26" t="s">
        <v>168</v>
      </c>
      <c r="D9" s="33" t="s">
        <v>119</v>
      </c>
      <c r="E9" s="34" t="s">
        <v>120</v>
      </c>
      <c r="F9" s="19" t="s">
        <v>121</v>
      </c>
    </row>
    <row r="10" spans="1:6">
      <c r="A10" s="20"/>
      <c r="B10" s="20"/>
      <c r="C10" s="27"/>
      <c r="D10" s="33"/>
      <c r="E10" s="33"/>
      <c r="F10" s="20"/>
    </row>
    <row r="11" spans="1:6">
      <c r="A11" s="20"/>
      <c r="B11" s="20"/>
      <c r="C11" s="28"/>
      <c r="D11" s="33"/>
      <c r="E11" s="33"/>
      <c r="F11" s="21"/>
    </row>
    <row r="12" spans="1:6" ht="19.149999999999999" customHeight="1">
      <c r="A12" s="20"/>
      <c r="B12" s="20"/>
      <c r="C12" s="26" t="s">
        <v>167</v>
      </c>
      <c r="D12" s="33" t="s">
        <v>122</v>
      </c>
      <c r="E12" s="33" t="s">
        <v>166</v>
      </c>
      <c r="F12" s="22" t="s">
        <v>123</v>
      </c>
    </row>
    <row r="13" spans="1:6">
      <c r="A13" s="20"/>
      <c r="B13" s="20"/>
      <c r="C13" s="27"/>
      <c r="D13" s="33"/>
      <c r="E13" s="33"/>
      <c r="F13" s="23"/>
    </row>
    <row r="14" spans="1:6">
      <c r="A14" s="20"/>
      <c r="B14" s="20"/>
      <c r="C14" s="27"/>
      <c r="D14" s="33"/>
      <c r="E14" s="33"/>
      <c r="F14" s="23"/>
    </row>
    <row r="15" spans="1:6">
      <c r="A15" s="21"/>
      <c r="B15" s="21"/>
      <c r="C15" s="28"/>
      <c r="D15" s="33"/>
      <c r="E15" s="33"/>
      <c r="F15" s="24"/>
    </row>
    <row r="16" spans="1:6" ht="19.149999999999999" customHeight="1">
      <c r="A16" s="29" t="s">
        <v>10</v>
      </c>
      <c r="B16" s="29" t="s">
        <v>11</v>
      </c>
      <c r="C16" s="26" t="s">
        <v>12</v>
      </c>
      <c r="D16" s="25" t="s">
        <v>171</v>
      </c>
      <c r="E16" s="25" t="s">
        <v>154</v>
      </c>
      <c r="F16" s="16" t="s">
        <v>155</v>
      </c>
    </row>
    <row r="17" spans="1:6">
      <c r="A17" s="29"/>
      <c r="B17" s="29"/>
      <c r="C17" s="27"/>
      <c r="D17" s="25"/>
      <c r="E17" s="25"/>
      <c r="F17" s="17"/>
    </row>
    <row r="18" spans="1:6">
      <c r="A18" s="29"/>
      <c r="B18" s="29"/>
      <c r="C18" s="28"/>
      <c r="D18" s="25"/>
      <c r="E18" s="25"/>
      <c r="F18" s="18"/>
    </row>
    <row r="19" spans="1:6" ht="37.9" customHeight="1">
      <c r="A19" s="29"/>
      <c r="B19" s="29"/>
      <c r="C19" s="26" t="s">
        <v>165</v>
      </c>
      <c r="D19" s="25" t="s">
        <v>156</v>
      </c>
      <c r="E19" s="25" t="s">
        <v>157</v>
      </c>
      <c r="F19" s="16" t="s">
        <v>158</v>
      </c>
    </row>
    <row r="20" spans="1:6">
      <c r="A20" s="29"/>
      <c r="B20" s="29"/>
      <c r="C20" s="27"/>
      <c r="D20" s="25"/>
      <c r="E20" s="25"/>
      <c r="F20" s="17"/>
    </row>
    <row r="21" spans="1:6">
      <c r="A21" s="29"/>
      <c r="B21" s="29"/>
      <c r="C21" s="28"/>
      <c r="D21" s="25"/>
      <c r="E21" s="25"/>
      <c r="F21" s="18"/>
    </row>
    <row r="22" spans="1:6" ht="37.9" customHeight="1">
      <c r="A22" s="29"/>
      <c r="B22" s="29"/>
      <c r="C22" s="26" t="s">
        <v>169</v>
      </c>
      <c r="D22" s="25" t="s">
        <v>159</v>
      </c>
      <c r="E22" s="25" t="s">
        <v>160</v>
      </c>
      <c r="F22" s="16" t="s">
        <v>158</v>
      </c>
    </row>
    <row r="23" spans="1:6">
      <c r="A23" s="29"/>
      <c r="B23" s="29"/>
      <c r="C23" s="27"/>
      <c r="D23" s="25"/>
      <c r="E23" s="25"/>
      <c r="F23" s="17"/>
    </row>
    <row r="24" spans="1:6">
      <c r="A24" s="29"/>
      <c r="B24" s="29"/>
      <c r="C24" s="27"/>
      <c r="D24" s="25"/>
      <c r="E24" s="25"/>
      <c r="F24" s="17"/>
    </row>
    <row r="25" spans="1:6">
      <c r="A25" s="29"/>
      <c r="B25" s="29"/>
      <c r="C25" s="28"/>
      <c r="D25" s="25"/>
      <c r="E25" s="25"/>
      <c r="F25" s="18"/>
    </row>
    <row r="26" spans="1:6" ht="37.9" customHeight="1">
      <c r="A26" s="29"/>
      <c r="B26" s="29"/>
      <c r="C26" s="26" t="s">
        <v>14</v>
      </c>
      <c r="D26" s="25" t="s">
        <v>161</v>
      </c>
      <c r="E26" s="25" t="s">
        <v>162</v>
      </c>
      <c r="F26" s="16" t="s">
        <v>163</v>
      </c>
    </row>
    <row r="27" spans="1:6">
      <c r="A27" s="29"/>
      <c r="B27" s="29"/>
      <c r="C27" s="27"/>
      <c r="D27" s="25"/>
      <c r="E27" s="25"/>
      <c r="F27" s="17"/>
    </row>
    <row r="28" spans="1:6">
      <c r="A28" s="29"/>
      <c r="B28" s="29"/>
      <c r="C28" s="28"/>
      <c r="D28" s="25"/>
      <c r="E28" s="25"/>
      <c r="F28" s="18"/>
    </row>
    <row r="29" spans="1:6" ht="37.9" customHeight="1">
      <c r="A29" s="19" t="s">
        <v>15</v>
      </c>
      <c r="B29" s="19" t="s">
        <v>16</v>
      </c>
      <c r="C29" s="26" t="s">
        <v>17</v>
      </c>
      <c r="D29" s="25" t="s">
        <v>124</v>
      </c>
      <c r="E29" s="25" t="s">
        <v>125</v>
      </c>
      <c r="F29" s="16" t="s">
        <v>126</v>
      </c>
    </row>
    <row r="30" spans="1:6">
      <c r="A30" s="20"/>
      <c r="B30" s="20"/>
      <c r="C30" s="27"/>
      <c r="D30" s="25"/>
      <c r="E30" s="25"/>
      <c r="F30" s="17"/>
    </row>
    <row r="31" spans="1:6">
      <c r="A31" s="20"/>
      <c r="B31" s="20"/>
      <c r="C31" s="27"/>
      <c r="D31" s="25"/>
      <c r="E31" s="25"/>
      <c r="F31" s="17"/>
    </row>
    <row r="32" spans="1:6">
      <c r="A32" s="20"/>
      <c r="B32" s="20"/>
      <c r="C32" s="28"/>
      <c r="D32" s="25"/>
      <c r="E32" s="25"/>
      <c r="F32" s="18"/>
    </row>
    <row r="33" spans="1:6" ht="37.9" customHeight="1">
      <c r="A33" s="20"/>
      <c r="B33" s="20"/>
      <c r="C33" s="26" t="s">
        <v>127</v>
      </c>
      <c r="D33" s="25" t="s">
        <v>128</v>
      </c>
      <c r="E33" s="25" t="s">
        <v>129</v>
      </c>
      <c r="F33" s="16" t="s">
        <v>130</v>
      </c>
    </row>
    <row r="34" spans="1:6">
      <c r="A34" s="20"/>
      <c r="B34" s="20"/>
      <c r="C34" s="27"/>
      <c r="D34" s="25"/>
      <c r="E34" s="25"/>
      <c r="F34" s="17"/>
    </row>
    <row r="35" spans="1:6">
      <c r="A35" s="20"/>
      <c r="B35" s="20"/>
      <c r="C35" s="27"/>
      <c r="D35" s="25"/>
      <c r="E35" s="25"/>
      <c r="F35" s="17"/>
    </row>
    <row r="36" spans="1:6">
      <c r="A36" s="20"/>
      <c r="B36" s="20"/>
      <c r="C36" s="27"/>
      <c r="D36" s="25"/>
      <c r="E36" s="25"/>
      <c r="F36" s="17"/>
    </row>
    <row r="37" spans="1:6">
      <c r="A37" s="20"/>
      <c r="B37" s="20"/>
      <c r="C37" s="28"/>
      <c r="D37" s="25"/>
      <c r="E37" s="25"/>
      <c r="F37" s="18"/>
    </row>
    <row r="38" spans="1:6" ht="37.9" customHeight="1">
      <c r="A38" s="20"/>
      <c r="B38" s="20"/>
      <c r="C38" s="26" t="s">
        <v>131</v>
      </c>
      <c r="D38" s="25" t="s">
        <v>132</v>
      </c>
      <c r="E38" s="25" t="s">
        <v>133</v>
      </c>
      <c r="F38" s="16" t="s">
        <v>134</v>
      </c>
    </row>
    <row r="39" spans="1:6">
      <c r="A39" s="20"/>
      <c r="B39" s="20"/>
      <c r="C39" s="27"/>
      <c r="D39" s="25"/>
      <c r="E39" s="25"/>
      <c r="F39" s="17"/>
    </row>
    <row r="40" spans="1:6">
      <c r="A40" s="20"/>
      <c r="B40" s="20"/>
      <c r="C40" s="28"/>
      <c r="D40" s="25"/>
      <c r="E40" s="25"/>
      <c r="F40" s="18"/>
    </row>
    <row r="41" spans="1:6" ht="37.9" customHeight="1">
      <c r="A41" s="20"/>
      <c r="B41" s="20"/>
      <c r="C41" s="26" t="s">
        <v>135</v>
      </c>
      <c r="D41" s="25" t="s">
        <v>136</v>
      </c>
      <c r="E41" s="25" t="s">
        <v>137</v>
      </c>
      <c r="F41" s="16" t="s">
        <v>138</v>
      </c>
    </row>
    <row r="42" spans="1:6">
      <c r="A42" s="20"/>
      <c r="B42" s="20"/>
      <c r="C42" s="27"/>
      <c r="D42" s="25"/>
      <c r="E42" s="25"/>
      <c r="F42" s="17"/>
    </row>
    <row r="43" spans="1:6">
      <c r="A43" s="20"/>
      <c r="B43" s="20"/>
      <c r="C43" s="27"/>
      <c r="D43" s="25"/>
      <c r="E43" s="25"/>
      <c r="F43" s="17"/>
    </row>
    <row r="44" spans="1:6">
      <c r="A44" s="20"/>
      <c r="B44" s="20"/>
      <c r="C44" s="27"/>
      <c r="D44" s="25"/>
      <c r="E44" s="25"/>
      <c r="F44" s="17"/>
    </row>
    <row r="45" spans="1:6">
      <c r="A45" s="20"/>
      <c r="B45" s="20"/>
      <c r="C45" s="27"/>
      <c r="D45" s="25"/>
      <c r="E45" s="25"/>
      <c r="F45" s="17"/>
    </row>
    <row r="46" spans="1:6">
      <c r="A46" s="20"/>
      <c r="B46" s="20"/>
      <c r="C46" s="28"/>
      <c r="D46" s="25"/>
      <c r="E46" s="25"/>
      <c r="F46" s="18"/>
    </row>
    <row r="47" spans="1:6" ht="37.9" customHeight="1">
      <c r="A47" s="20"/>
      <c r="B47" s="20"/>
      <c r="C47" s="26" t="s">
        <v>21</v>
      </c>
      <c r="D47" s="25" t="s">
        <v>139</v>
      </c>
      <c r="E47" s="25" t="s">
        <v>140</v>
      </c>
      <c r="F47" s="16" t="s">
        <v>141</v>
      </c>
    </row>
    <row r="48" spans="1:6">
      <c r="A48" s="20"/>
      <c r="B48" s="20"/>
      <c r="C48" s="27"/>
      <c r="D48" s="25"/>
      <c r="E48" s="25"/>
      <c r="F48" s="17"/>
    </row>
    <row r="49" spans="1:6">
      <c r="A49" s="20"/>
      <c r="B49" s="20"/>
      <c r="C49" s="27"/>
      <c r="D49" s="25"/>
      <c r="E49" s="25"/>
      <c r="F49" s="17"/>
    </row>
    <row r="50" spans="1:6">
      <c r="A50" s="20"/>
      <c r="B50" s="20"/>
      <c r="C50" s="27"/>
      <c r="D50" s="25"/>
      <c r="E50" s="25"/>
      <c r="F50" s="17"/>
    </row>
    <row r="51" spans="1:6">
      <c r="A51" s="20"/>
      <c r="B51" s="20"/>
      <c r="C51" s="28"/>
      <c r="D51" s="25"/>
      <c r="E51" s="25"/>
      <c r="F51" s="18"/>
    </row>
    <row r="52" spans="1:6" ht="37.9" customHeight="1">
      <c r="A52" s="20"/>
      <c r="B52" s="20"/>
      <c r="C52" s="30" t="s">
        <v>142</v>
      </c>
      <c r="D52" s="25" t="s">
        <v>143</v>
      </c>
      <c r="E52" s="25" t="s">
        <v>144</v>
      </c>
      <c r="F52" s="16" t="s">
        <v>145</v>
      </c>
    </row>
    <row r="53" spans="1:6">
      <c r="A53" s="20"/>
      <c r="B53" s="20"/>
      <c r="C53" s="31"/>
      <c r="D53" s="25"/>
      <c r="E53" s="25"/>
      <c r="F53" s="17"/>
    </row>
    <row r="54" spans="1:6">
      <c r="A54" s="20"/>
      <c r="B54" s="20"/>
      <c r="C54" s="31"/>
      <c r="D54" s="25"/>
      <c r="E54" s="25"/>
      <c r="F54" s="17"/>
    </row>
    <row r="55" spans="1:6">
      <c r="A55" s="20"/>
      <c r="B55" s="20"/>
      <c r="C55" s="32"/>
      <c r="D55" s="25"/>
      <c r="E55" s="25"/>
      <c r="F55" s="18"/>
    </row>
    <row r="56" spans="1:6" ht="19.149999999999999" customHeight="1">
      <c r="A56" s="20"/>
      <c r="B56" s="20"/>
      <c r="C56" s="26" t="s">
        <v>146</v>
      </c>
      <c r="D56" s="25" t="s">
        <v>174</v>
      </c>
      <c r="E56" s="25" t="s">
        <v>170</v>
      </c>
      <c r="F56" s="16" t="s">
        <v>147</v>
      </c>
    </row>
    <row r="57" spans="1:6">
      <c r="A57" s="20"/>
      <c r="B57" s="20"/>
      <c r="C57" s="27"/>
      <c r="D57" s="25"/>
      <c r="E57" s="25"/>
      <c r="F57" s="17"/>
    </row>
    <row r="58" spans="1:6">
      <c r="A58" s="20"/>
      <c r="B58" s="20"/>
      <c r="C58" s="28"/>
      <c r="D58" s="25"/>
      <c r="E58" s="25"/>
      <c r="F58" s="18"/>
    </row>
    <row r="59" spans="1:6" ht="19.149999999999999" customHeight="1">
      <c r="A59" s="20"/>
      <c r="B59" s="20"/>
      <c r="C59" s="26" t="s">
        <v>173</v>
      </c>
      <c r="D59" s="25" t="s">
        <v>172</v>
      </c>
      <c r="E59" s="25" t="s">
        <v>148</v>
      </c>
      <c r="F59" s="16" t="s">
        <v>149</v>
      </c>
    </row>
    <row r="60" spans="1:6">
      <c r="A60" s="20"/>
      <c r="B60" s="20"/>
      <c r="C60" s="27"/>
      <c r="D60" s="25"/>
      <c r="E60" s="25"/>
      <c r="F60" s="17"/>
    </row>
    <row r="61" spans="1:6">
      <c r="A61" s="20"/>
      <c r="B61" s="20"/>
      <c r="C61" s="27"/>
      <c r="D61" s="25"/>
      <c r="E61" s="25"/>
      <c r="F61" s="17"/>
    </row>
    <row r="62" spans="1:6">
      <c r="A62" s="20"/>
      <c r="B62" s="20"/>
      <c r="C62" s="28"/>
      <c r="D62" s="25"/>
      <c r="E62" s="25"/>
      <c r="F62" s="18"/>
    </row>
    <row r="63" spans="1:6" ht="37.9" customHeight="1">
      <c r="A63" s="20"/>
      <c r="B63" s="20"/>
      <c r="C63" s="26" t="s">
        <v>150</v>
      </c>
      <c r="D63" s="25" t="s">
        <v>151</v>
      </c>
      <c r="E63" s="25" t="s">
        <v>152</v>
      </c>
      <c r="F63" s="16" t="s">
        <v>153</v>
      </c>
    </row>
    <row r="64" spans="1:6">
      <c r="A64" s="20"/>
      <c r="B64" s="20"/>
      <c r="C64" s="27"/>
      <c r="D64" s="25"/>
      <c r="E64" s="25"/>
      <c r="F64" s="17"/>
    </row>
    <row r="65" spans="1:6">
      <c r="A65" s="21"/>
      <c r="B65" s="21"/>
      <c r="C65" s="28"/>
      <c r="D65" s="25"/>
      <c r="E65" s="25"/>
      <c r="F65" s="18"/>
    </row>
  </sheetData>
  <mergeCells count="79">
    <mergeCell ref="F52:F55"/>
    <mergeCell ref="F56:F58"/>
    <mergeCell ref="F59:F62"/>
    <mergeCell ref="F63:F65"/>
    <mergeCell ref="F29:F32"/>
    <mergeCell ref="F33:F37"/>
    <mergeCell ref="F38:F40"/>
    <mergeCell ref="F41:F46"/>
    <mergeCell ref="F47:F51"/>
    <mergeCell ref="A3:A15"/>
    <mergeCell ref="B3:B15"/>
    <mergeCell ref="C3:C5"/>
    <mergeCell ref="D3:D5"/>
    <mergeCell ref="E3:E5"/>
    <mergeCell ref="C12:C15"/>
    <mergeCell ref="D12:D15"/>
    <mergeCell ref="E12:E15"/>
    <mergeCell ref="B1:B2"/>
    <mergeCell ref="C1:C2"/>
    <mergeCell ref="D1:D2"/>
    <mergeCell ref="E1:E2"/>
    <mergeCell ref="F1:F2"/>
    <mergeCell ref="E47:E51"/>
    <mergeCell ref="C52:C55"/>
    <mergeCell ref="D52:D55"/>
    <mergeCell ref="E52:E55"/>
    <mergeCell ref="C6:C8"/>
    <mergeCell ref="D6:D8"/>
    <mergeCell ref="E6:E8"/>
    <mergeCell ref="C9:C11"/>
    <mergeCell ref="D9:D11"/>
    <mergeCell ref="E9:E11"/>
    <mergeCell ref="A16:A28"/>
    <mergeCell ref="B16:B28"/>
    <mergeCell ref="C16:C18"/>
    <mergeCell ref="D16:D18"/>
    <mergeCell ref="E16:E18"/>
    <mergeCell ref="C19:C21"/>
    <mergeCell ref="D19:D21"/>
    <mergeCell ref="E19:E21"/>
    <mergeCell ref="C22:C25"/>
    <mergeCell ref="D22:D25"/>
    <mergeCell ref="E22:E25"/>
    <mergeCell ref="C26:C28"/>
    <mergeCell ref="D26:D28"/>
    <mergeCell ref="E26:E28"/>
    <mergeCell ref="A29:A65"/>
    <mergeCell ref="B29:B65"/>
    <mergeCell ref="C29:C32"/>
    <mergeCell ref="D29:D32"/>
    <mergeCell ref="E29:E32"/>
    <mergeCell ref="C33:C37"/>
    <mergeCell ref="C41:C46"/>
    <mergeCell ref="D41:D46"/>
    <mergeCell ref="E41:E46"/>
    <mergeCell ref="D33:D37"/>
    <mergeCell ref="E33:E37"/>
    <mergeCell ref="C38:C40"/>
    <mergeCell ref="D38:D40"/>
    <mergeCell ref="E38:E40"/>
    <mergeCell ref="C47:C51"/>
    <mergeCell ref="D47:D51"/>
    <mergeCell ref="E63:E65"/>
    <mergeCell ref="C56:C58"/>
    <mergeCell ref="D56:D58"/>
    <mergeCell ref="E56:E58"/>
    <mergeCell ref="C59:C62"/>
    <mergeCell ref="D59:D62"/>
    <mergeCell ref="E59:E62"/>
    <mergeCell ref="C63:C65"/>
    <mergeCell ref="D63:D65"/>
    <mergeCell ref="F16:F18"/>
    <mergeCell ref="F19:F21"/>
    <mergeCell ref="F22:F25"/>
    <mergeCell ref="F26:F28"/>
    <mergeCell ref="F3:F5"/>
    <mergeCell ref="F6:F8"/>
    <mergeCell ref="F9:F11"/>
    <mergeCell ref="F12:F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1"/>
  <sheetViews>
    <sheetView topLeftCell="A34" workbookViewId="0">
      <selection activeCell="AX17" sqref="AX17"/>
    </sheetView>
  </sheetViews>
  <sheetFormatPr defaultColWidth="10.77734375" defaultRowHeight="17.25"/>
  <cols>
    <col min="1" max="1" width="3" style="3" bestFit="1" customWidth="1"/>
    <col min="2" max="2" width="16.77734375" style="3" customWidth="1"/>
    <col min="3" max="3" width="25" style="3" customWidth="1"/>
    <col min="4" max="4" width="54.21875" style="3" customWidth="1"/>
    <col min="5" max="19" width="3.77734375" style="3" hidden="1" customWidth="1"/>
    <col min="20" max="20" width="4.21875" style="3" hidden="1" customWidth="1"/>
    <col min="21" max="29" width="2.77734375" style="3" hidden="1" customWidth="1"/>
    <col min="30" max="30" width="6.77734375" style="3" customWidth="1"/>
    <col min="31" max="39" width="2.77734375" style="3" hidden="1" customWidth="1"/>
    <col min="40" max="40" width="6.21875" style="3" customWidth="1"/>
    <col min="41" max="49" width="2.77734375" style="3" hidden="1" customWidth="1"/>
    <col min="50" max="50" width="6.77734375" style="3" customWidth="1"/>
    <col min="51" max="51" width="5.21875" style="3" bestFit="1" customWidth="1"/>
    <col min="52" max="16384" width="10.77734375" style="3"/>
  </cols>
  <sheetData>
    <row r="1" spans="1:51">
      <c r="A1" s="4"/>
      <c r="B1" s="16" t="s">
        <v>0</v>
      </c>
      <c r="C1" s="16" t="s">
        <v>1</v>
      </c>
      <c r="D1" s="16" t="s">
        <v>26</v>
      </c>
      <c r="E1" s="25" t="s">
        <v>27</v>
      </c>
      <c r="F1" s="25"/>
      <c r="G1" s="25"/>
      <c r="H1" s="25"/>
      <c r="I1" s="25"/>
      <c r="J1" s="25" t="s">
        <v>28</v>
      </c>
      <c r="K1" s="25"/>
      <c r="L1" s="25"/>
      <c r="M1" s="25"/>
      <c r="N1" s="25"/>
      <c r="O1" s="25" t="s">
        <v>29</v>
      </c>
      <c r="P1" s="25"/>
      <c r="Q1" s="25"/>
      <c r="R1" s="25"/>
      <c r="S1" s="25"/>
      <c r="U1" s="3" t="s">
        <v>30</v>
      </c>
      <c r="AC1" s="3" t="s">
        <v>31</v>
      </c>
      <c r="AD1" s="25" t="s">
        <v>27</v>
      </c>
      <c r="AE1" s="4" t="s">
        <v>30</v>
      </c>
      <c r="AF1" s="4"/>
      <c r="AG1" s="4"/>
      <c r="AH1" s="4"/>
      <c r="AI1" s="4"/>
      <c r="AJ1" s="4"/>
      <c r="AK1" s="4"/>
      <c r="AL1" s="4"/>
      <c r="AM1" s="4"/>
      <c r="AN1" s="25" t="s">
        <v>28</v>
      </c>
      <c r="AO1" s="4" t="s">
        <v>30</v>
      </c>
      <c r="AP1" s="4"/>
      <c r="AQ1" s="4"/>
      <c r="AR1" s="4"/>
      <c r="AS1" s="4"/>
      <c r="AT1" s="4"/>
      <c r="AU1" s="4"/>
      <c r="AV1" s="4"/>
      <c r="AW1" s="4" t="s">
        <v>31</v>
      </c>
      <c r="AX1" s="25" t="s">
        <v>91</v>
      </c>
      <c r="AY1" s="25" t="s">
        <v>92</v>
      </c>
    </row>
    <row r="2" spans="1:51">
      <c r="A2" s="5"/>
      <c r="B2" s="18"/>
      <c r="C2" s="18"/>
      <c r="D2" s="18"/>
      <c r="E2" s="6">
        <v>1</v>
      </c>
      <c r="F2" s="4">
        <v>2</v>
      </c>
      <c r="G2" s="4">
        <v>3</v>
      </c>
      <c r="H2" s="6">
        <v>4</v>
      </c>
      <c r="I2" s="6">
        <v>5</v>
      </c>
      <c r="J2" s="6">
        <v>1</v>
      </c>
      <c r="K2" s="6">
        <v>2</v>
      </c>
      <c r="L2" s="6">
        <v>3</v>
      </c>
      <c r="M2" s="6">
        <v>4</v>
      </c>
      <c r="N2" s="6">
        <v>5</v>
      </c>
      <c r="O2" s="6">
        <v>1</v>
      </c>
      <c r="P2" s="6">
        <v>2</v>
      </c>
      <c r="Q2" s="6">
        <v>3</v>
      </c>
      <c r="R2" s="6">
        <v>4</v>
      </c>
      <c r="S2" s="6">
        <v>5</v>
      </c>
      <c r="U2" s="3">
        <v>1</v>
      </c>
      <c r="V2" s="3">
        <v>2</v>
      </c>
      <c r="W2" s="3">
        <v>3</v>
      </c>
      <c r="X2" s="3">
        <v>4</v>
      </c>
      <c r="Y2" s="3">
        <v>5</v>
      </c>
      <c r="Z2" s="3">
        <v>6</v>
      </c>
      <c r="AA2" s="3">
        <v>7</v>
      </c>
      <c r="AB2" s="3">
        <v>8</v>
      </c>
      <c r="AC2" s="3">
        <v>9</v>
      </c>
      <c r="AD2" s="25"/>
      <c r="AE2" s="4">
        <v>1</v>
      </c>
      <c r="AF2" s="4">
        <v>2</v>
      </c>
      <c r="AG2" s="4">
        <v>3</v>
      </c>
      <c r="AH2" s="4">
        <v>4</v>
      </c>
      <c r="AI2" s="4">
        <v>5</v>
      </c>
      <c r="AJ2" s="4">
        <v>6</v>
      </c>
      <c r="AK2" s="4">
        <v>7</v>
      </c>
      <c r="AL2" s="4">
        <v>8</v>
      </c>
      <c r="AM2" s="4">
        <v>9</v>
      </c>
      <c r="AN2" s="25"/>
      <c r="AO2" s="4">
        <v>1</v>
      </c>
      <c r="AP2" s="4">
        <v>2</v>
      </c>
      <c r="AQ2" s="4">
        <v>3</v>
      </c>
      <c r="AR2" s="4">
        <v>4</v>
      </c>
      <c r="AS2" s="4">
        <v>5</v>
      </c>
      <c r="AT2" s="4">
        <v>6</v>
      </c>
      <c r="AU2" s="4">
        <v>7</v>
      </c>
      <c r="AV2" s="4">
        <v>8</v>
      </c>
      <c r="AW2" s="4">
        <v>9</v>
      </c>
      <c r="AX2" s="25"/>
      <c r="AY2" s="25"/>
    </row>
    <row r="3" spans="1:51" ht="34.5">
      <c r="A3" s="16" t="s">
        <v>4</v>
      </c>
      <c r="B3" s="16" t="s">
        <v>5</v>
      </c>
      <c r="C3" s="19" t="s">
        <v>6</v>
      </c>
      <c r="D3" s="4" t="s">
        <v>32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>
        <v>5</v>
      </c>
      <c r="V3" s="3">
        <v>4</v>
      </c>
      <c r="W3" s="3">
        <v>4</v>
      </c>
      <c r="X3" s="3">
        <v>5</v>
      </c>
      <c r="Y3" s="3">
        <v>5</v>
      </c>
      <c r="Z3" s="3">
        <v>3</v>
      </c>
      <c r="AA3" s="3">
        <v>4</v>
      </c>
      <c r="AB3" s="3">
        <v>5</v>
      </c>
      <c r="AC3" s="3">
        <v>5</v>
      </c>
      <c r="AD3" s="8">
        <f>AVERAGE(U3:AC3)</f>
        <v>4.4444444444444446</v>
      </c>
      <c r="AE3" s="4">
        <v>4</v>
      </c>
      <c r="AF3" s="4">
        <v>5</v>
      </c>
      <c r="AG3" s="4">
        <v>3</v>
      </c>
      <c r="AH3" s="4">
        <v>4</v>
      </c>
      <c r="AI3" s="4">
        <v>5</v>
      </c>
      <c r="AJ3" s="4">
        <v>4</v>
      </c>
      <c r="AK3" s="4">
        <v>5</v>
      </c>
      <c r="AL3" s="4">
        <v>4</v>
      </c>
      <c r="AM3" s="4">
        <v>4</v>
      </c>
      <c r="AN3" s="8">
        <f>AVERAGE(AE3:AM3)</f>
        <v>4.2222222222222223</v>
      </c>
      <c r="AO3" s="4">
        <v>3</v>
      </c>
      <c r="AP3" s="4">
        <v>2</v>
      </c>
      <c r="AQ3" s="4">
        <v>4</v>
      </c>
      <c r="AR3" s="4">
        <v>4</v>
      </c>
      <c r="AS3" s="4">
        <v>2</v>
      </c>
      <c r="AT3" s="4">
        <v>2</v>
      </c>
      <c r="AU3" s="4">
        <v>1</v>
      </c>
      <c r="AV3" s="4">
        <v>5</v>
      </c>
      <c r="AW3" s="4">
        <v>2</v>
      </c>
      <c r="AX3" s="8">
        <f>AVERAGE(AO3:AW3)</f>
        <v>2.7777777777777777</v>
      </c>
      <c r="AY3" s="8">
        <f>AVERAGE(AD3,AN3,AX3)</f>
        <v>3.8148148148148153</v>
      </c>
    </row>
    <row r="4" spans="1:51" ht="34.5">
      <c r="A4" s="17"/>
      <c r="B4" s="17"/>
      <c r="C4" s="20"/>
      <c r="D4" s="4" t="s">
        <v>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U4" s="4">
        <v>5</v>
      </c>
      <c r="V4" s="3">
        <v>5</v>
      </c>
      <c r="W4" s="3">
        <v>4</v>
      </c>
      <c r="X4" s="3">
        <v>4</v>
      </c>
      <c r="Y4" s="3">
        <v>5</v>
      </c>
      <c r="Z4" s="3">
        <v>3</v>
      </c>
      <c r="AA4" s="3">
        <v>5</v>
      </c>
      <c r="AB4" s="3">
        <v>5</v>
      </c>
      <c r="AC4" s="3">
        <v>5</v>
      </c>
      <c r="AD4" s="8">
        <f t="shared" ref="AD4:AD60" si="0">AVERAGE(U4:AC4)</f>
        <v>4.5555555555555554</v>
      </c>
      <c r="AE4" s="4">
        <v>4</v>
      </c>
      <c r="AF4" s="4">
        <v>4</v>
      </c>
      <c r="AG4" s="4">
        <v>4</v>
      </c>
      <c r="AH4" s="4">
        <v>5</v>
      </c>
      <c r="AI4" s="4">
        <v>4</v>
      </c>
      <c r="AJ4" s="4">
        <v>4</v>
      </c>
      <c r="AK4" s="4">
        <v>5</v>
      </c>
      <c r="AL4" s="4">
        <v>3</v>
      </c>
      <c r="AM4" s="4">
        <v>4</v>
      </c>
      <c r="AN4" s="8">
        <f t="shared" ref="AN4:AN60" si="1">AVERAGE(AE4:AM4)</f>
        <v>4.1111111111111107</v>
      </c>
      <c r="AO4" s="4">
        <v>3</v>
      </c>
      <c r="AP4" s="4">
        <v>2</v>
      </c>
      <c r="AQ4" s="4">
        <v>4</v>
      </c>
      <c r="AR4" s="4">
        <v>4</v>
      </c>
      <c r="AS4" s="4">
        <v>2</v>
      </c>
      <c r="AT4" s="4">
        <v>2</v>
      </c>
      <c r="AU4" s="4">
        <v>2</v>
      </c>
      <c r="AV4" s="4">
        <v>5</v>
      </c>
      <c r="AW4" s="4">
        <v>2</v>
      </c>
      <c r="AX4" s="8">
        <f t="shared" ref="AX4:AX60" si="2">AVERAGE(AO4:AW4)</f>
        <v>2.8888888888888888</v>
      </c>
      <c r="AY4" s="8">
        <f t="shared" ref="AY4:AY60" si="3">AVERAGE(AD4,AN4,AX4)</f>
        <v>3.8518518518518516</v>
      </c>
    </row>
    <row r="5" spans="1:51" ht="34.5">
      <c r="A5" s="17"/>
      <c r="B5" s="17"/>
      <c r="C5" s="21"/>
      <c r="D5" s="4" t="s">
        <v>34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U5" s="4">
        <v>5</v>
      </c>
      <c r="V5" s="3">
        <v>5</v>
      </c>
      <c r="W5" s="3">
        <v>3</v>
      </c>
      <c r="X5" s="3">
        <v>5</v>
      </c>
      <c r="Y5" s="3">
        <v>4</v>
      </c>
      <c r="Z5" s="3">
        <v>1</v>
      </c>
      <c r="AA5" s="3">
        <v>5</v>
      </c>
      <c r="AB5" s="3">
        <v>5</v>
      </c>
      <c r="AC5" s="3">
        <v>5</v>
      </c>
      <c r="AD5" s="8">
        <f t="shared" si="0"/>
        <v>4.2222222222222223</v>
      </c>
      <c r="AE5" s="4">
        <v>4</v>
      </c>
      <c r="AF5" s="4">
        <v>3</v>
      </c>
      <c r="AG5" s="4">
        <v>4</v>
      </c>
      <c r="AH5" s="4">
        <v>5</v>
      </c>
      <c r="AI5" s="4">
        <v>5</v>
      </c>
      <c r="AJ5" s="4">
        <v>3</v>
      </c>
      <c r="AK5" s="4">
        <v>4</v>
      </c>
      <c r="AL5" s="4">
        <v>4</v>
      </c>
      <c r="AM5" s="4">
        <v>4</v>
      </c>
      <c r="AN5" s="8">
        <f>AVERAGE(AE5:AM5)</f>
        <v>4</v>
      </c>
      <c r="AO5" s="4">
        <v>3</v>
      </c>
      <c r="AP5" s="4">
        <v>2</v>
      </c>
      <c r="AQ5" s="4">
        <v>3</v>
      </c>
      <c r="AR5" s="4">
        <v>5</v>
      </c>
      <c r="AS5" s="4">
        <v>1</v>
      </c>
      <c r="AT5" s="4">
        <v>1</v>
      </c>
      <c r="AU5" s="4">
        <v>2</v>
      </c>
      <c r="AV5" s="4">
        <v>4</v>
      </c>
      <c r="AW5" s="4">
        <v>2</v>
      </c>
      <c r="AX5" s="8">
        <f t="shared" si="2"/>
        <v>2.5555555555555554</v>
      </c>
      <c r="AY5" s="8">
        <f t="shared" si="3"/>
        <v>3.5925925925925921</v>
      </c>
    </row>
    <row r="6" spans="1:51" ht="34.5">
      <c r="A6" s="17"/>
      <c r="B6" s="17"/>
      <c r="C6" s="22" t="s">
        <v>7</v>
      </c>
      <c r="D6" s="4" t="s">
        <v>35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U6" s="4">
        <v>4</v>
      </c>
      <c r="V6" s="3">
        <v>5</v>
      </c>
      <c r="W6" s="3">
        <v>4</v>
      </c>
      <c r="X6" s="3">
        <v>5</v>
      </c>
      <c r="Y6" s="3">
        <v>2</v>
      </c>
      <c r="Z6" s="3">
        <v>4</v>
      </c>
      <c r="AA6" s="3">
        <v>5</v>
      </c>
      <c r="AB6" s="3">
        <v>5</v>
      </c>
      <c r="AC6" s="3">
        <v>5</v>
      </c>
      <c r="AD6" s="8">
        <f t="shared" si="0"/>
        <v>4.333333333333333</v>
      </c>
      <c r="AE6" s="4">
        <v>3</v>
      </c>
      <c r="AF6" s="4">
        <v>2</v>
      </c>
      <c r="AG6" s="4">
        <v>2</v>
      </c>
      <c r="AH6" s="4">
        <v>4</v>
      </c>
      <c r="AI6" s="4">
        <v>4</v>
      </c>
      <c r="AJ6" s="4">
        <v>4</v>
      </c>
      <c r="AK6" s="4">
        <v>3</v>
      </c>
      <c r="AL6" s="4">
        <v>3</v>
      </c>
      <c r="AM6" s="4">
        <v>4</v>
      </c>
      <c r="AN6" s="8">
        <f t="shared" si="1"/>
        <v>3.2222222222222223</v>
      </c>
      <c r="AO6" s="4">
        <v>3</v>
      </c>
      <c r="AP6" s="4">
        <v>3</v>
      </c>
      <c r="AQ6" s="4">
        <v>4</v>
      </c>
      <c r="AR6" s="4">
        <v>4</v>
      </c>
      <c r="AS6" s="4">
        <v>2</v>
      </c>
      <c r="AT6" s="4">
        <v>2</v>
      </c>
      <c r="AU6" s="4">
        <v>2</v>
      </c>
      <c r="AV6" s="4">
        <v>4</v>
      </c>
      <c r="AW6" s="4">
        <v>3</v>
      </c>
      <c r="AX6" s="8">
        <f t="shared" si="2"/>
        <v>3</v>
      </c>
      <c r="AY6" s="8">
        <f t="shared" si="3"/>
        <v>3.5185185185185186</v>
      </c>
    </row>
    <row r="7" spans="1:51" ht="34.5">
      <c r="A7" s="17"/>
      <c r="B7" s="17"/>
      <c r="C7" s="23"/>
      <c r="D7" s="4" t="s">
        <v>36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U7" s="4">
        <v>4</v>
      </c>
      <c r="V7" s="3">
        <v>5</v>
      </c>
      <c r="W7" s="3">
        <v>5</v>
      </c>
      <c r="X7" s="3">
        <v>5</v>
      </c>
      <c r="Y7" s="3">
        <v>4</v>
      </c>
      <c r="Z7" s="3">
        <v>5</v>
      </c>
      <c r="AA7" s="3">
        <v>5</v>
      </c>
      <c r="AB7" s="3">
        <v>5</v>
      </c>
      <c r="AC7" s="3">
        <v>5</v>
      </c>
      <c r="AD7" s="8">
        <f t="shared" si="0"/>
        <v>4.7777777777777777</v>
      </c>
      <c r="AE7" s="4">
        <v>3</v>
      </c>
      <c r="AF7" s="4">
        <v>2</v>
      </c>
      <c r="AG7" s="4">
        <v>3</v>
      </c>
      <c r="AH7" s="4">
        <v>4</v>
      </c>
      <c r="AI7" s="4">
        <v>3</v>
      </c>
      <c r="AJ7" s="4">
        <v>4</v>
      </c>
      <c r="AK7" s="4">
        <v>3</v>
      </c>
      <c r="AL7" s="4">
        <v>5</v>
      </c>
      <c r="AM7" s="4">
        <v>4</v>
      </c>
      <c r="AN7" s="8">
        <f t="shared" si="1"/>
        <v>3.4444444444444446</v>
      </c>
      <c r="AO7" s="4">
        <v>3</v>
      </c>
      <c r="AP7" s="4">
        <v>3</v>
      </c>
      <c r="AQ7" s="4">
        <v>4</v>
      </c>
      <c r="AR7" s="4">
        <v>5</v>
      </c>
      <c r="AS7" s="4">
        <v>2</v>
      </c>
      <c r="AT7" s="4">
        <v>5</v>
      </c>
      <c r="AU7" s="4">
        <v>3</v>
      </c>
      <c r="AV7" s="4">
        <v>4</v>
      </c>
      <c r="AW7" s="4">
        <v>3</v>
      </c>
      <c r="AX7" s="8">
        <f t="shared" si="2"/>
        <v>3.5555555555555554</v>
      </c>
      <c r="AY7" s="8">
        <f t="shared" si="3"/>
        <v>3.9259259259259256</v>
      </c>
    </row>
    <row r="8" spans="1:51" ht="34.5">
      <c r="A8" s="17"/>
      <c r="B8" s="17"/>
      <c r="C8" s="24"/>
      <c r="D8" s="4" t="s">
        <v>37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U8" s="4">
        <v>4</v>
      </c>
      <c r="V8" s="3">
        <v>5</v>
      </c>
      <c r="W8" s="3">
        <v>5</v>
      </c>
      <c r="X8" s="3">
        <v>4</v>
      </c>
      <c r="Y8" s="3">
        <v>3</v>
      </c>
      <c r="Z8" s="3">
        <v>5</v>
      </c>
      <c r="AA8" s="3">
        <v>4</v>
      </c>
      <c r="AB8" s="3">
        <v>5</v>
      </c>
      <c r="AC8" s="3">
        <v>5</v>
      </c>
      <c r="AD8" s="8">
        <f t="shared" si="0"/>
        <v>4.4444444444444446</v>
      </c>
      <c r="AE8" s="4">
        <v>3</v>
      </c>
      <c r="AF8" s="4">
        <v>2</v>
      </c>
      <c r="AG8" s="4">
        <v>3</v>
      </c>
      <c r="AH8" s="4">
        <v>5</v>
      </c>
      <c r="AI8" s="4">
        <v>2</v>
      </c>
      <c r="AJ8" s="4">
        <v>4</v>
      </c>
      <c r="AK8" s="4">
        <v>4</v>
      </c>
      <c r="AL8" s="4">
        <v>5</v>
      </c>
      <c r="AM8" s="4">
        <v>4</v>
      </c>
      <c r="AN8" s="8">
        <f t="shared" si="1"/>
        <v>3.5555555555555554</v>
      </c>
      <c r="AO8" s="4">
        <v>3</v>
      </c>
      <c r="AP8" s="4">
        <v>4</v>
      </c>
      <c r="AQ8" s="4">
        <v>2</v>
      </c>
      <c r="AR8" s="4">
        <v>3</v>
      </c>
      <c r="AS8" s="4">
        <v>2</v>
      </c>
      <c r="AT8" s="4">
        <v>5</v>
      </c>
      <c r="AU8" s="4">
        <v>1</v>
      </c>
      <c r="AV8" s="4">
        <v>4</v>
      </c>
      <c r="AW8" s="4">
        <v>3</v>
      </c>
      <c r="AX8" s="8">
        <f t="shared" si="2"/>
        <v>3</v>
      </c>
      <c r="AY8" s="8">
        <f t="shared" si="3"/>
        <v>3.6666666666666665</v>
      </c>
    </row>
    <row r="9" spans="1:51">
      <c r="A9" s="17"/>
      <c r="B9" s="17"/>
      <c r="C9" s="22" t="s">
        <v>8</v>
      </c>
      <c r="D9" s="4" t="s">
        <v>38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U9" s="4">
        <v>4</v>
      </c>
      <c r="V9" s="3">
        <v>5</v>
      </c>
      <c r="W9" s="3">
        <v>3</v>
      </c>
      <c r="X9" s="3">
        <v>3</v>
      </c>
      <c r="Y9" s="3">
        <v>4</v>
      </c>
      <c r="Z9" s="3">
        <v>4</v>
      </c>
      <c r="AA9" s="3">
        <v>3</v>
      </c>
      <c r="AB9" s="3">
        <v>4</v>
      </c>
      <c r="AC9" s="3">
        <v>5</v>
      </c>
      <c r="AD9" s="8">
        <f t="shared" si="0"/>
        <v>3.8888888888888888</v>
      </c>
      <c r="AE9" s="4">
        <v>3</v>
      </c>
      <c r="AF9" s="4">
        <v>1</v>
      </c>
      <c r="AG9" s="4">
        <v>3</v>
      </c>
      <c r="AH9" s="4">
        <v>3</v>
      </c>
      <c r="AI9" s="4">
        <v>4</v>
      </c>
      <c r="AJ9" s="4">
        <v>3</v>
      </c>
      <c r="AK9" s="4">
        <v>2</v>
      </c>
      <c r="AL9" s="4">
        <v>3</v>
      </c>
      <c r="AM9" s="4">
        <v>4</v>
      </c>
      <c r="AN9" s="8">
        <f t="shared" si="1"/>
        <v>2.8888888888888888</v>
      </c>
      <c r="AO9" s="4">
        <v>3</v>
      </c>
      <c r="AP9" s="4">
        <v>1</v>
      </c>
      <c r="AQ9" s="4">
        <v>1</v>
      </c>
      <c r="AR9" s="4">
        <v>4</v>
      </c>
      <c r="AS9" s="4">
        <v>3</v>
      </c>
      <c r="AT9" s="4">
        <v>1</v>
      </c>
      <c r="AU9" s="4">
        <v>2</v>
      </c>
      <c r="AV9" s="4">
        <v>3</v>
      </c>
      <c r="AW9" s="4">
        <v>2</v>
      </c>
      <c r="AX9" s="8">
        <f t="shared" si="2"/>
        <v>2.2222222222222223</v>
      </c>
      <c r="AY9" s="8">
        <f t="shared" si="3"/>
        <v>3</v>
      </c>
    </row>
    <row r="10" spans="1:51">
      <c r="A10" s="17"/>
      <c r="B10" s="17"/>
      <c r="C10" s="23"/>
      <c r="D10" s="4" t="s">
        <v>39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U10" s="4">
        <v>4</v>
      </c>
      <c r="V10" s="3">
        <v>5</v>
      </c>
      <c r="W10" s="3">
        <v>3</v>
      </c>
      <c r="X10" s="3">
        <v>3</v>
      </c>
      <c r="Y10" s="3">
        <v>5</v>
      </c>
      <c r="Z10" s="3">
        <v>3</v>
      </c>
      <c r="AA10" s="3">
        <v>4</v>
      </c>
      <c r="AB10" s="3">
        <v>4</v>
      </c>
      <c r="AC10" s="3">
        <v>5</v>
      </c>
      <c r="AD10" s="8">
        <f t="shared" si="0"/>
        <v>4</v>
      </c>
      <c r="AE10" s="4">
        <v>3</v>
      </c>
      <c r="AF10" s="4">
        <v>2</v>
      </c>
      <c r="AG10" s="4">
        <v>2</v>
      </c>
      <c r="AH10" s="4">
        <v>3</v>
      </c>
      <c r="AI10" s="4">
        <v>4</v>
      </c>
      <c r="AJ10" s="4">
        <v>2</v>
      </c>
      <c r="AK10" s="4">
        <v>3</v>
      </c>
      <c r="AL10" s="4">
        <v>3</v>
      </c>
      <c r="AM10" s="4">
        <v>4</v>
      </c>
      <c r="AN10" s="8">
        <f t="shared" si="1"/>
        <v>2.8888888888888888</v>
      </c>
      <c r="AO10" s="4">
        <v>3</v>
      </c>
      <c r="AP10" s="4">
        <v>1</v>
      </c>
      <c r="AQ10" s="4">
        <v>1</v>
      </c>
      <c r="AR10" s="4">
        <v>3</v>
      </c>
      <c r="AS10" s="4">
        <v>3</v>
      </c>
      <c r="AT10" s="4">
        <v>1</v>
      </c>
      <c r="AU10" s="4">
        <v>3</v>
      </c>
      <c r="AV10" s="4">
        <v>3</v>
      </c>
      <c r="AW10" s="4">
        <v>2</v>
      </c>
      <c r="AX10" s="8">
        <f t="shared" si="2"/>
        <v>2.2222222222222223</v>
      </c>
      <c r="AY10" s="8">
        <f t="shared" si="3"/>
        <v>3.0370370370370368</v>
      </c>
    </row>
    <row r="11" spans="1:51">
      <c r="A11" s="17"/>
      <c r="B11" s="17"/>
      <c r="C11" s="24"/>
      <c r="D11" s="4" t="s">
        <v>40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U11" s="4">
        <v>4</v>
      </c>
      <c r="V11" s="3">
        <v>5</v>
      </c>
      <c r="W11" s="3">
        <v>3</v>
      </c>
      <c r="X11" s="3">
        <v>3</v>
      </c>
      <c r="Y11" s="3">
        <v>5</v>
      </c>
      <c r="Z11" s="3">
        <v>2</v>
      </c>
      <c r="AA11" s="3">
        <v>5</v>
      </c>
      <c r="AB11" s="3">
        <v>4</v>
      </c>
      <c r="AC11" s="3">
        <v>5</v>
      </c>
      <c r="AD11" s="8">
        <f t="shared" si="0"/>
        <v>4</v>
      </c>
      <c r="AE11" s="4">
        <v>3</v>
      </c>
      <c r="AF11" s="4">
        <v>2</v>
      </c>
      <c r="AG11" s="4">
        <v>4</v>
      </c>
      <c r="AH11" s="4">
        <v>3</v>
      </c>
      <c r="AI11" s="4">
        <v>4</v>
      </c>
      <c r="AJ11" s="4">
        <v>1</v>
      </c>
      <c r="AK11" s="4">
        <v>3</v>
      </c>
      <c r="AL11" s="4">
        <v>3</v>
      </c>
      <c r="AM11" s="4">
        <v>4</v>
      </c>
      <c r="AN11" s="8">
        <f t="shared" si="1"/>
        <v>3</v>
      </c>
      <c r="AO11" s="4">
        <v>3</v>
      </c>
      <c r="AP11" s="4">
        <v>2</v>
      </c>
      <c r="AQ11" s="4">
        <v>1</v>
      </c>
      <c r="AR11" s="4">
        <v>3</v>
      </c>
      <c r="AS11" s="4">
        <v>2</v>
      </c>
      <c r="AT11" s="4">
        <v>1</v>
      </c>
      <c r="AU11" s="4">
        <v>4</v>
      </c>
      <c r="AV11" s="4">
        <v>3</v>
      </c>
      <c r="AW11" s="4">
        <v>2</v>
      </c>
      <c r="AX11" s="8">
        <f t="shared" si="2"/>
        <v>2.3333333333333335</v>
      </c>
      <c r="AY11" s="8">
        <f t="shared" si="3"/>
        <v>3.1111111111111112</v>
      </c>
    </row>
    <row r="12" spans="1:51" ht="34.5">
      <c r="A12" s="17"/>
      <c r="B12" s="17"/>
      <c r="C12" s="22" t="s">
        <v>9</v>
      </c>
      <c r="D12" s="4" t="s">
        <v>41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U12" s="4">
        <v>5</v>
      </c>
      <c r="V12" s="3">
        <v>4</v>
      </c>
      <c r="W12" s="3">
        <v>4</v>
      </c>
      <c r="X12" s="3">
        <v>4</v>
      </c>
      <c r="Y12" s="3">
        <v>3</v>
      </c>
      <c r="Z12" s="3">
        <v>3</v>
      </c>
      <c r="AA12" s="3">
        <v>5</v>
      </c>
      <c r="AB12" s="3">
        <v>5</v>
      </c>
      <c r="AC12" s="3">
        <v>5</v>
      </c>
      <c r="AD12" s="8">
        <f t="shared" si="0"/>
        <v>4.2222222222222223</v>
      </c>
      <c r="AE12" s="4">
        <v>4</v>
      </c>
      <c r="AF12" s="4">
        <v>1</v>
      </c>
      <c r="AG12" s="4">
        <v>4</v>
      </c>
      <c r="AH12" s="4">
        <v>3</v>
      </c>
      <c r="AI12" s="4">
        <v>4</v>
      </c>
      <c r="AJ12" s="4">
        <v>5</v>
      </c>
      <c r="AK12" s="4">
        <v>2</v>
      </c>
      <c r="AL12" s="4">
        <v>4</v>
      </c>
      <c r="AM12" s="4">
        <v>4</v>
      </c>
      <c r="AN12" s="8">
        <f t="shared" si="1"/>
        <v>3.4444444444444446</v>
      </c>
      <c r="AO12" s="4">
        <v>4</v>
      </c>
      <c r="AP12" s="4">
        <v>2</v>
      </c>
      <c r="AQ12" s="4">
        <v>2</v>
      </c>
      <c r="AR12" s="4">
        <v>5</v>
      </c>
      <c r="AS12" s="4">
        <v>3</v>
      </c>
      <c r="AT12" s="4">
        <v>3</v>
      </c>
      <c r="AU12" s="4">
        <v>4</v>
      </c>
      <c r="AV12" s="4">
        <v>4</v>
      </c>
      <c r="AW12" s="4">
        <v>3</v>
      </c>
      <c r="AX12" s="8">
        <f t="shared" si="2"/>
        <v>3.3333333333333335</v>
      </c>
      <c r="AY12" s="8">
        <f t="shared" si="3"/>
        <v>3.6666666666666665</v>
      </c>
    </row>
    <row r="13" spans="1:51" ht="34.5">
      <c r="A13" s="17"/>
      <c r="B13" s="17"/>
      <c r="C13" s="23"/>
      <c r="D13" s="4" t="s">
        <v>42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U13" s="4">
        <v>5</v>
      </c>
      <c r="V13" s="3">
        <v>5</v>
      </c>
      <c r="W13" s="3">
        <v>5</v>
      </c>
      <c r="X13" s="3">
        <v>5</v>
      </c>
      <c r="Y13" s="3">
        <v>3</v>
      </c>
      <c r="Z13" s="3">
        <v>4</v>
      </c>
      <c r="AA13" s="3">
        <v>4</v>
      </c>
      <c r="AB13" s="3">
        <v>5</v>
      </c>
      <c r="AC13" s="3">
        <v>5</v>
      </c>
      <c r="AD13" s="8">
        <f t="shared" si="0"/>
        <v>4.5555555555555554</v>
      </c>
      <c r="AE13" s="4">
        <v>4</v>
      </c>
      <c r="AF13" s="4">
        <v>4</v>
      </c>
      <c r="AG13" s="4">
        <v>4</v>
      </c>
      <c r="AH13" s="4">
        <v>4</v>
      </c>
      <c r="AI13" s="4">
        <v>5</v>
      </c>
      <c r="AJ13" s="4">
        <v>4</v>
      </c>
      <c r="AK13" s="4">
        <v>3</v>
      </c>
      <c r="AL13" s="4">
        <v>5</v>
      </c>
      <c r="AM13" s="4">
        <v>4</v>
      </c>
      <c r="AN13" s="8">
        <f t="shared" si="1"/>
        <v>4.1111111111111107</v>
      </c>
      <c r="AO13" s="4">
        <v>4</v>
      </c>
      <c r="AP13" s="4">
        <v>2</v>
      </c>
      <c r="AQ13" s="4">
        <v>3</v>
      </c>
      <c r="AR13" s="4">
        <v>4</v>
      </c>
      <c r="AS13" s="4">
        <v>3</v>
      </c>
      <c r="AT13" s="4">
        <v>3</v>
      </c>
      <c r="AU13" s="4">
        <v>3</v>
      </c>
      <c r="AV13" s="4">
        <v>3</v>
      </c>
      <c r="AW13" s="4">
        <v>3</v>
      </c>
      <c r="AX13" s="8">
        <f t="shared" si="2"/>
        <v>3.1111111111111112</v>
      </c>
      <c r="AY13" s="8">
        <f t="shared" si="3"/>
        <v>3.9259259259259256</v>
      </c>
    </row>
    <row r="14" spans="1:51">
      <c r="A14" s="17"/>
      <c r="B14" s="17"/>
      <c r="C14" s="23"/>
      <c r="D14" s="4" t="s">
        <v>43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U14" s="4">
        <v>5</v>
      </c>
      <c r="V14" s="3">
        <v>5</v>
      </c>
      <c r="W14" s="3">
        <v>4</v>
      </c>
      <c r="X14" s="3">
        <v>4</v>
      </c>
      <c r="Y14" s="3">
        <v>2</v>
      </c>
      <c r="Z14" s="3">
        <v>3</v>
      </c>
      <c r="AA14" s="3">
        <v>5</v>
      </c>
      <c r="AB14" s="3">
        <v>5</v>
      </c>
      <c r="AC14" s="3">
        <v>5</v>
      </c>
      <c r="AD14" s="8">
        <f t="shared" si="0"/>
        <v>4.2222222222222223</v>
      </c>
      <c r="AE14" s="4">
        <v>4</v>
      </c>
      <c r="AF14" s="4">
        <v>3</v>
      </c>
      <c r="AG14" s="4">
        <v>3</v>
      </c>
      <c r="AH14" s="4">
        <v>2</v>
      </c>
      <c r="AI14" s="4">
        <v>3</v>
      </c>
      <c r="AJ14" s="4">
        <v>3</v>
      </c>
      <c r="AK14" s="4">
        <v>4</v>
      </c>
      <c r="AL14" s="4">
        <v>4</v>
      </c>
      <c r="AM14" s="4">
        <v>4</v>
      </c>
      <c r="AN14" s="8">
        <f t="shared" si="1"/>
        <v>3.3333333333333335</v>
      </c>
      <c r="AO14" s="4">
        <v>4</v>
      </c>
      <c r="AP14" s="4">
        <v>1</v>
      </c>
      <c r="AQ14" s="4">
        <v>1</v>
      </c>
      <c r="AR14" s="4">
        <v>3</v>
      </c>
      <c r="AS14" s="4">
        <v>4</v>
      </c>
      <c r="AT14" s="4">
        <v>1</v>
      </c>
      <c r="AU14" s="4">
        <v>2</v>
      </c>
      <c r="AV14" s="4">
        <v>3</v>
      </c>
      <c r="AW14" s="4">
        <v>3</v>
      </c>
      <c r="AX14" s="8">
        <f t="shared" si="2"/>
        <v>2.4444444444444446</v>
      </c>
      <c r="AY14" s="8">
        <f t="shared" si="3"/>
        <v>3.3333333333333335</v>
      </c>
    </row>
    <row r="15" spans="1:51" ht="34.5">
      <c r="A15" s="18"/>
      <c r="B15" s="18"/>
      <c r="C15" s="24"/>
      <c r="D15" s="4" t="s">
        <v>44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U15" s="4">
        <v>5</v>
      </c>
      <c r="V15" s="3">
        <v>4</v>
      </c>
      <c r="W15" s="3">
        <v>3</v>
      </c>
      <c r="X15" s="3">
        <v>5</v>
      </c>
      <c r="Y15" s="3">
        <v>4</v>
      </c>
      <c r="Z15" s="3">
        <v>4</v>
      </c>
      <c r="AA15" s="3">
        <v>4</v>
      </c>
      <c r="AB15" s="3">
        <v>5</v>
      </c>
      <c r="AC15" s="3">
        <v>4</v>
      </c>
      <c r="AD15" s="8">
        <f t="shared" si="0"/>
        <v>4.2222222222222223</v>
      </c>
      <c r="AE15" s="4">
        <v>4</v>
      </c>
      <c r="AF15" s="4">
        <v>2</v>
      </c>
      <c r="AG15" s="4">
        <v>3</v>
      </c>
      <c r="AH15" s="4">
        <v>5</v>
      </c>
      <c r="AI15" s="4">
        <v>4</v>
      </c>
      <c r="AJ15" s="4">
        <v>3</v>
      </c>
      <c r="AK15" s="4">
        <v>3</v>
      </c>
      <c r="AL15" s="4">
        <v>3</v>
      </c>
      <c r="AM15" s="4">
        <v>4</v>
      </c>
      <c r="AN15" s="8">
        <f t="shared" si="1"/>
        <v>3.4444444444444446</v>
      </c>
      <c r="AO15" s="4">
        <v>4</v>
      </c>
      <c r="AP15" s="4">
        <v>1</v>
      </c>
      <c r="AQ15" s="4">
        <v>1</v>
      </c>
      <c r="AR15" s="4">
        <v>5</v>
      </c>
      <c r="AS15" s="4">
        <v>4</v>
      </c>
      <c r="AT15" s="4">
        <v>2</v>
      </c>
      <c r="AU15" s="4">
        <v>2</v>
      </c>
      <c r="AV15" s="4">
        <v>3</v>
      </c>
      <c r="AW15" s="4">
        <v>1</v>
      </c>
      <c r="AX15" s="8">
        <f t="shared" si="2"/>
        <v>2.5555555555555554</v>
      </c>
      <c r="AY15" s="8">
        <f t="shared" si="3"/>
        <v>3.407407407407407</v>
      </c>
    </row>
    <row r="16" spans="1:51" ht="34.5">
      <c r="A16" s="25" t="s">
        <v>10</v>
      </c>
      <c r="B16" s="25" t="s">
        <v>11</v>
      </c>
      <c r="C16" s="22" t="s">
        <v>12</v>
      </c>
      <c r="D16" s="4" t="s">
        <v>45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U16" s="4">
        <v>4</v>
      </c>
      <c r="V16" s="3">
        <v>5</v>
      </c>
      <c r="W16" s="3">
        <v>4</v>
      </c>
      <c r="X16" s="3">
        <v>5</v>
      </c>
      <c r="Y16" s="3">
        <v>5</v>
      </c>
      <c r="Z16" s="3">
        <v>4</v>
      </c>
      <c r="AA16" s="3">
        <v>4</v>
      </c>
      <c r="AB16" s="3">
        <v>5</v>
      </c>
      <c r="AC16" s="3">
        <v>4</v>
      </c>
      <c r="AD16" s="8">
        <f t="shared" si="0"/>
        <v>4.4444444444444446</v>
      </c>
      <c r="AE16" s="4">
        <v>3</v>
      </c>
      <c r="AF16" s="4">
        <v>1</v>
      </c>
      <c r="AG16" s="4">
        <v>2</v>
      </c>
      <c r="AH16" s="4">
        <v>4</v>
      </c>
      <c r="AI16" s="4">
        <v>4</v>
      </c>
      <c r="AJ16" s="4">
        <v>4</v>
      </c>
      <c r="AK16" s="4">
        <v>2</v>
      </c>
      <c r="AL16" s="4">
        <v>4</v>
      </c>
      <c r="AM16" s="4">
        <v>3</v>
      </c>
      <c r="AN16" s="8">
        <f t="shared" si="1"/>
        <v>3</v>
      </c>
      <c r="AO16" s="4">
        <v>3</v>
      </c>
      <c r="AP16" s="4">
        <v>2</v>
      </c>
      <c r="AQ16" s="4">
        <v>1</v>
      </c>
      <c r="AR16" s="4">
        <v>5</v>
      </c>
      <c r="AS16" s="4">
        <v>3</v>
      </c>
      <c r="AT16" s="4">
        <v>4</v>
      </c>
      <c r="AU16" s="4">
        <v>2</v>
      </c>
      <c r="AV16" s="4">
        <v>4</v>
      </c>
      <c r="AW16" s="4">
        <v>2</v>
      </c>
      <c r="AX16" s="8">
        <f t="shared" si="2"/>
        <v>2.8888888888888888</v>
      </c>
      <c r="AY16" s="8">
        <f t="shared" si="3"/>
        <v>3.4444444444444446</v>
      </c>
    </row>
    <row r="17" spans="1:51">
      <c r="A17" s="25"/>
      <c r="B17" s="25"/>
      <c r="C17" s="23"/>
      <c r="D17" s="4" t="s">
        <v>46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U17" s="4">
        <v>5</v>
      </c>
      <c r="V17" s="3">
        <v>5</v>
      </c>
      <c r="W17" s="3">
        <v>4</v>
      </c>
      <c r="X17" s="3">
        <v>5</v>
      </c>
      <c r="Y17" s="3">
        <v>5</v>
      </c>
      <c r="Z17" s="3">
        <v>5</v>
      </c>
      <c r="AA17" s="3">
        <v>4</v>
      </c>
      <c r="AB17" s="3">
        <v>5</v>
      </c>
      <c r="AC17" s="3">
        <v>4</v>
      </c>
      <c r="AD17" s="8">
        <f t="shared" si="0"/>
        <v>4.666666666666667</v>
      </c>
      <c r="AE17" s="4">
        <v>4</v>
      </c>
      <c r="AF17" s="4">
        <v>2</v>
      </c>
      <c r="AG17" s="4">
        <v>2</v>
      </c>
      <c r="AH17" s="4">
        <v>4</v>
      </c>
      <c r="AI17" s="4">
        <v>4</v>
      </c>
      <c r="AJ17" s="4">
        <v>5</v>
      </c>
      <c r="AK17" s="4">
        <v>3</v>
      </c>
      <c r="AL17" s="4">
        <v>4</v>
      </c>
      <c r="AM17" s="4">
        <v>3</v>
      </c>
      <c r="AN17" s="8">
        <f t="shared" si="1"/>
        <v>3.4444444444444446</v>
      </c>
      <c r="AO17" s="4">
        <v>3</v>
      </c>
      <c r="AP17" s="4">
        <v>2</v>
      </c>
      <c r="AQ17" s="4">
        <v>1</v>
      </c>
      <c r="AR17" s="4">
        <v>5</v>
      </c>
      <c r="AS17" s="4">
        <v>3</v>
      </c>
      <c r="AT17" s="4">
        <v>3</v>
      </c>
      <c r="AU17" s="4">
        <v>2</v>
      </c>
      <c r="AV17" s="4">
        <v>4</v>
      </c>
      <c r="AW17" s="4">
        <v>2</v>
      </c>
      <c r="AX17" s="8">
        <f t="shared" si="2"/>
        <v>2.7777777777777777</v>
      </c>
      <c r="AY17" s="8">
        <f t="shared" si="3"/>
        <v>3.6296296296296298</v>
      </c>
    </row>
    <row r="18" spans="1:51" ht="34.5">
      <c r="A18" s="25"/>
      <c r="B18" s="25"/>
      <c r="C18" s="24"/>
      <c r="D18" s="4" t="s">
        <v>47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U18" s="4">
        <v>4</v>
      </c>
      <c r="V18" s="3">
        <v>5</v>
      </c>
      <c r="W18" s="3">
        <v>5</v>
      </c>
      <c r="X18" s="3">
        <v>5</v>
      </c>
      <c r="Y18" s="3">
        <v>4</v>
      </c>
      <c r="Z18" s="3">
        <v>5</v>
      </c>
      <c r="AA18" s="3">
        <v>4</v>
      </c>
      <c r="AB18" s="3">
        <v>5</v>
      </c>
      <c r="AC18" s="3">
        <v>4</v>
      </c>
      <c r="AD18" s="8">
        <f t="shared" si="0"/>
        <v>4.5555555555555554</v>
      </c>
      <c r="AE18" s="4">
        <v>3</v>
      </c>
      <c r="AF18" s="4">
        <v>4</v>
      </c>
      <c r="AG18" s="4">
        <v>2</v>
      </c>
      <c r="AH18" s="4">
        <v>5</v>
      </c>
      <c r="AI18" s="4">
        <v>5</v>
      </c>
      <c r="AJ18" s="4">
        <v>4</v>
      </c>
      <c r="AK18" s="4">
        <v>4</v>
      </c>
      <c r="AL18" s="4">
        <v>4</v>
      </c>
      <c r="AM18" s="4">
        <v>3</v>
      </c>
      <c r="AN18" s="8">
        <f t="shared" si="1"/>
        <v>3.7777777777777777</v>
      </c>
      <c r="AO18" s="4">
        <v>3</v>
      </c>
      <c r="AP18" s="4">
        <v>2</v>
      </c>
      <c r="AQ18" s="4">
        <v>1</v>
      </c>
      <c r="AR18" s="4">
        <v>4</v>
      </c>
      <c r="AS18" s="4">
        <v>3</v>
      </c>
      <c r="AT18" s="4">
        <v>5</v>
      </c>
      <c r="AU18" s="4">
        <v>2</v>
      </c>
      <c r="AV18" s="4">
        <v>4</v>
      </c>
      <c r="AW18" s="4">
        <v>2</v>
      </c>
      <c r="AX18" s="8">
        <f t="shared" si="2"/>
        <v>2.8888888888888888</v>
      </c>
      <c r="AY18" s="8">
        <f t="shared" si="3"/>
        <v>3.7407407407407405</v>
      </c>
    </row>
    <row r="19" spans="1:51" ht="34.5">
      <c r="A19" s="25"/>
      <c r="B19" s="25"/>
      <c r="C19" s="22" t="s">
        <v>13</v>
      </c>
      <c r="D19" s="4" t="s">
        <v>48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U19" s="4">
        <v>5</v>
      </c>
      <c r="V19" s="3">
        <v>5</v>
      </c>
      <c r="W19" s="3">
        <v>5</v>
      </c>
      <c r="X19" s="3">
        <v>3</v>
      </c>
      <c r="Y19" s="3">
        <v>5</v>
      </c>
      <c r="Z19" s="3">
        <v>4</v>
      </c>
      <c r="AA19" s="3">
        <v>4</v>
      </c>
      <c r="AB19" s="3">
        <v>4</v>
      </c>
      <c r="AC19" s="3">
        <v>5</v>
      </c>
      <c r="AD19" s="8">
        <f t="shared" si="0"/>
        <v>4.4444444444444446</v>
      </c>
      <c r="AE19" s="4">
        <v>5</v>
      </c>
      <c r="AF19" s="4">
        <v>4</v>
      </c>
      <c r="AG19" s="4">
        <v>3</v>
      </c>
      <c r="AH19" s="4">
        <v>4</v>
      </c>
      <c r="AI19" s="4">
        <v>5</v>
      </c>
      <c r="AJ19" s="4">
        <v>3</v>
      </c>
      <c r="AK19" s="4">
        <v>4</v>
      </c>
      <c r="AL19" s="4">
        <v>4</v>
      </c>
      <c r="AM19" s="4">
        <v>4</v>
      </c>
      <c r="AN19" s="8">
        <f t="shared" si="1"/>
        <v>4</v>
      </c>
      <c r="AO19" s="4">
        <v>4</v>
      </c>
      <c r="AP19" s="4">
        <v>3</v>
      </c>
      <c r="AQ19" s="4">
        <v>2</v>
      </c>
      <c r="AR19" s="4">
        <v>5</v>
      </c>
      <c r="AS19" s="4">
        <v>2</v>
      </c>
      <c r="AT19" s="4">
        <v>4</v>
      </c>
      <c r="AU19" s="4">
        <v>3</v>
      </c>
      <c r="AV19" s="4">
        <v>4</v>
      </c>
      <c r="AW19" s="4">
        <v>2</v>
      </c>
      <c r="AX19" s="8">
        <f t="shared" si="2"/>
        <v>3.2222222222222223</v>
      </c>
      <c r="AY19" s="8">
        <f t="shared" si="3"/>
        <v>3.8888888888888893</v>
      </c>
    </row>
    <row r="20" spans="1:51" ht="34.5">
      <c r="A20" s="25"/>
      <c r="B20" s="25"/>
      <c r="C20" s="23"/>
      <c r="D20" s="4" t="s">
        <v>49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U20" s="4">
        <v>5</v>
      </c>
      <c r="V20" s="3">
        <v>5</v>
      </c>
      <c r="W20" s="3">
        <v>5</v>
      </c>
      <c r="X20" s="3">
        <v>5</v>
      </c>
      <c r="Y20" s="3">
        <v>5</v>
      </c>
      <c r="Z20" s="3">
        <v>4</v>
      </c>
      <c r="AA20" s="3">
        <v>4</v>
      </c>
      <c r="AB20" s="3">
        <v>4</v>
      </c>
      <c r="AC20" s="3">
        <v>5</v>
      </c>
      <c r="AD20" s="8">
        <f t="shared" si="0"/>
        <v>4.666666666666667</v>
      </c>
      <c r="AE20" s="4">
        <v>5</v>
      </c>
      <c r="AF20" s="4">
        <v>4</v>
      </c>
      <c r="AG20" s="4">
        <v>4</v>
      </c>
      <c r="AH20" s="4">
        <v>5</v>
      </c>
      <c r="AI20" s="4">
        <v>5</v>
      </c>
      <c r="AJ20" s="4">
        <v>5</v>
      </c>
      <c r="AK20" s="4">
        <v>4</v>
      </c>
      <c r="AL20" s="4">
        <v>4</v>
      </c>
      <c r="AM20" s="4">
        <v>4</v>
      </c>
      <c r="AN20" s="8">
        <f t="shared" si="1"/>
        <v>4.4444444444444446</v>
      </c>
      <c r="AO20" s="4">
        <v>4</v>
      </c>
      <c r="AP20" s="4">
        <v>3</v>
      </c>
      <c r="AQ20" s="4">
        <v>2</v>
      </c>
      <c r="AR20" s="4">
        <v>5</v>
      </c>
      <c r="AS20" s="4">
        <v>2</v>
      </c>
      <c r="AT20" s="4">
        <v>3</v>
      </c>
      <c r="AU20" s="4">
        <v>3</v>
      </c>
      <c r="AV20" s="4">
        <v>4</v>
      </c>
      <c r="AW20" s="4">
        <v>2</v>
      </c>
      <c r="AX20" s="8">
        <f t="shared" si="2"/>
        <v>3.1111111111111112</v>
      </c>
      <c r="AY20" s="8">
        <f t="shared" si="3"/>
        <v>4.0740740740740735</v>
      </c>
    </row>
    <row r="21" spans="1:51">
      <c r="A21" s="25"/>
      <c r="B21" s="25"/>
      <c r="C21" s="24"/>
      <c r="D21" s="4" t="s">
        <v>50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U21" s="4">
        <v>5</v>
      </c>
      <c r="V21" s="3">
        <v>3</v>
      </c>
      <c r="W21" s="3">
        <v>4</v>
      </c>
      <c r="X21" s="3">
        <v>5</v>
      </c>
      <c r="Y21" s="3">
        <v>3</v>
      </c>
      <c r="Z21" s="3">
        <v>4</v>
      </c>
      <c r="AA21" s="3">
        <v>4</v>
      </c>
      <c r="AB21" s="3">
        <v>4</v>
      </c>
      <c r="AC21" s="3">
        <v>5</v>
      </c>
      <c r="AD21" s="8">
        <f t="shared" si="0"/>
        <v>4.1111111111111107</v>
      </c>
      <c r="AE21" s="4">
        <v>5</v>
      </c>
      <c r="AF21" s="4">
        <v>3</v>
      </c>
      <c r="AG21" s="4">
        <v>4</v>
      </c>
      <c r="AH21" s="4">
        <v>5</v>
      </c>
      <c r="AI21" s="4">
        <v>5</v>
      </c>
      <c r="AJ21" s="4">
        <v>4</v>
      </c>
      <c r="AK21" s="4">
        <v>4</v>
      </c>
      <c r="AL21" s="4">
        <v>5</v>
      </c>
      <c r="AM21" s="4">
        <v>4</v>
      </c>
      <c r="AN21" s="8">
        <f t="shared" si="1"/>
        <v>4.333333333333333</v>
      </c>
      <c r="AO21" s="4">
        <v>4</v>
      </c>
      <c r="AP21" s="4">
        <v>2</v>
      </c>
      <c r="AQ21" s="4">
        <v>2</v>
      </c>
      <c r="AR21" s="4">
        <v>5</v>
      </c>
      <c r="AS21" s="4">
        <v>2</v>
      </c>
      <c r="AT21" s="4">
        <v>2</v>
      </c>
      <c r="AU21" s="4">
        <v>3</v>
      </c>
      <c r="AV21" s="4">
        <v>4</v>
      </c>
      <c r="AW21" s="4">
        <v>2</v>
      </c>
      <c r="AX21" s="8">
        <f t="shared" si="2"/>
        <v>2.8888888888888888</v>
      </c>
      <c r="AY21" s="8">
        <f t="shared" si="3"/>
        <v>3.7777777777777772</v>
      </c>
    </row>
    <row r="22" spans="1:51">
      <c r="A22" s="25"/>
      <c r="B22" s="25"/>
      <c r="C22" s="22" t="s">
        <v>51</v>
      </c>
      <c r="D22" s="4" t="s">
        <v>52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U22" s="4">
        <v>5</v>
      </c>
      <c r="V22" s="3">
        <v>5</v>
      </c>
      <c r="W22" s="3">
        <v>5</v>
      </c>
      <c r="X22" s="3">
        <v>5</v>
      </c>
      <c r="Y22" s="3">
        <v>4</v>
      </c>
      <c r="Z22" s="3">
        <v>5</v>
      </c>
      <c r="AA22" s="3">
        <v>5</v>
      </c>
      <c r="AB22" s="3">
        <v>5</v>
      </c>
      <c r="AC22" s="3">
        <v>4</v>
      </c>
      <c r="AD22" s="8">
        <f t="shared" si="0"/>
        <v>4.7777777777777777</v>
      </c>
      <c r="AE22" s="4">
        <v>4</v>
      </c>
      <c r="AF22" s="4">
        <v>4</v>
      </c>
      <c r="AG22" s="4">
        <v>3</v>
      </c>
      <c r="AH22" s="4">
        <v>4</v>
      </c>
      <c r="AI22" s="4">
        <v>3</v>
      </c>
      <c r="AJ22" s="4">
        <v>5</v>
      </c>
      <c r="AK22" s="4">
        <v>4</v>
      </c>
      <c r="AL22" s="4">
        <v>4</v>
      </c>
      <c r="AM22" s="4">
        <v>3</v>
      </c>
      <c r="AN22" s="8">
        <f t="shared" si="1"/>
        <v>3.7777777777777777</v>
      </c>
      <c r="AO22" s="4">
        <v>4</v>
      </c>
      <c r="AP22" s="4">
        <v>3</v>
      </c>
      <c r="AQ22" s="4">
        <v>1</v>
      </c>
      <c r="AR22" s="4">
        <v>4</v>
      </c>
      <c r="AS22" s="4">
        <v>3</v>
      </c>
      <c r="AT22" s="4">
        <v>4</v>
      </c>
      <c r="AU22" s="4">
        <v>3</v>
      </c>
      <c r="AV22" s="4">
        <v>4</v>
      </c>
      <c r="AW22" s="4">
        <v>2</v>
      </c>
      <c r="AX22" s="8">
        <f t="shared" si="2"/>
        <v>3.1111111111111112</v>
      </c>
      <c r="AY22" s="8">
        <f t="shared" si="3"/>
        <v>3.8888888888888888</v>
      </c>
    </row>
    <row r="23" spans="1:51">
      <c r="A23" s="25"/>
      <c r="B23" s="25"/>
      <c r="C23" s="23"/>
      <c r="D23" s="4" t="s">
        <v>53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U23" s="4">
        <v>4</v>
      </c>
      <c r="V23" s="3">
        <v>5</v>
      </c>
      <c r="W23" s="3">
        <v>5</v>
      </c>
      <c r="X23" s="3">
        <v>4</v>
      </c>
      <c r="Y23" s="3">
        <v>3</v>
      </c>
      <c r="Z23" s="3">
        <v>5</v>
      </c>
      <c r="AA23" s="3">
        <v>5</v>
      </c>
      <c r="AB23" s="3">
        <v>5</v>
      </c>
      <c r="AC23" s="3">
        <v>4</v>
      </c>
      <c r="AD23" s="8">
        <f t="shared" si="0"/>
        <v>4.4444444444444446</v>
      </c>
      <c r="AE23" s="4">
        <v>4</v>
      </c>
      <c r="AF23" s="4">
        <v>5</v>
      </c>
      <c r="AG23" s="4">
        <v>3</v>
      </c>
      <c r="AH23" s="4">
        <v>4</v>
      </c>
      <c r="AI23" s="4">
        <v>3</v>
      </c>
      <c r="AJ23" s="4">
        <v>4</v>
      </c>
      <c r="AK23" s="4">
        <v>4</v>
      </c>
      <c r="AL23" s="4">
        <v>4</v>
      </c>
      <c r="AM23" s="4">
        <v>3</v>
      </c>
      <c r="AN23" s="8">
        <f t="shared" si="1"/>
        <v>3.7777777777777777</v>
      </c>
      <c r="AO23" s="4">
        <v>4</v>
      </c>
      <c r="AP23" s="4">
        <v>3</v>
      </c>
      <c r="AQ23" s="4">
        <v>1</v>
      </c>
      <c r="AR23" s="4">
        <v>4</v>
      </c>
      <c r="AS23" s="4">
        <v>3</v>
      </c>
      <c r="AT23" s="4">
        <v>5</v>
      </c>
      <c r="AU23" s="4">
        <v>3</v>
      </c>
      <c r="AV23" s="4">
        <v>4</v>
      </c>
      <c r="AW23" s="4">
        <v>2</v>
      </c>
      <c r="AX23" s="8">
        <f t="shared" si="2"/>
        <v>3.2222222222222223</v>
      </c>
      <c r="AY23" s="8">
        <f t="shared" si="3"/>
        <v>3.8148148148148144</v>
      </c>
    </row>
    <row r="24" spans="1:51" ht="30" customHeight="1">
      <c r="A24" s="25"/>
      <c r="B24" s="25"/>
      <c r="C24" s="23"/>
      <c r="D24" s="4" t="s">
        <v>54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U24" s="4">
        <v>4</v>
      </c>
      <c r="V24" s="3">
        <v>5</v>
      </c>
      <c r="W24" s="3">
        <v>5</v>
      </c>
      <c r="X24" s="3">
        <v>4</v>
      </c>
      <c r="Y24" s="3">
        <v>3</v>
      </c>
      <c r="Z24" s="3">
        <v>4</v>
      </c>
      <c r="AA24" s="3">
        <v>4</v>
      </c>
      <c r="AB24" s="3">
        <v>5</v>
      </c>
      <c r="AC24" s="3">
        <v>4</v>
      </c>
      <c r="AD24" s="8">
        <f t="shared" si="0"/>
        <v>4.2222222222222223</v>
      </c>
      <c r="AE24" s="4">
        <v>4</v>
      </c>
      <c r="AF24" s="4">
        <v>4</v>
      </c>
      <c r="AG24" s="4">
        <v>3</v>
      </c>
      <c r="AH24" s="4">
        <v>4</v>
      </c>
      <c r="AI24" s="4">
        <v>4</v>
      </c>
      <c r="AJ24" s="4">
        <v>4</v>
      </c>
      <c r="AK24" s="4">
        <v>4</v>
      </c>
      <c r="AL24" s="4">
        <v>4</v>
      </c>
      <c r="AM24" s="4">
        <v>3</v>
      </c>
      <c r="AN24" s="8">
        <f t="shared" si="1"/>
        <v>3.7777777777777777</v>
      </c>
      <c r="AO24" s="4">
        <v>4</v>
      </c>
      <c r="AP24" s="4">
        <v>3</v>
      </c>
      <c r="AQ24" s="4">
        <v>1</v>
      </c>
      <c r="AR24" s="4">
        <v>5</v>
      </c>
      <c r="AS24" s="4">
        <v>2</v>
      </c>
      <c r="AT24" s="4">
        <v>5</v>
      </c>
      <c r="AU24" s="4">
        <v>3</v>
      </c>
      <c r="AV24" s="4">
        <v>4</v>
      </c>
      <c r="AW24" s="4">
        <v>2</v>
      </c>
      <c r="AX24" s="8">
        <f t="shared" si="2"/>
        <v>3.2222222222222223</v>
      </c>
      <c r="AY24" s="8">
        <f t="shared" si="3"/>
        <v>3.7407407407407405</v>
      </c>
    </row>
    <row r="25" spans="1:51" ht="34.5">
      <c r="A25" s="25"/>
      <c r="B25" s="25"/>
      <c r="C25" s="22" t="s">
        <v>14</v>
      </c>
      <c r="D25" s="4" t="s">
        <v>55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U25" s="4">
        <v>4</v>
      </c>
      <c r="V25" s="3">
        <v>4</v>
      </c>
      <c r="W25" s="3">
        <v>5</v>
      </c>
      <c r="X25" s="3">
        <v>4</v>
      </c>
      <c r="Y25" s="3">
        <v>4</v>
      </c>
      <c r="Z25" s="3">
        <v>3</v>
      </c>
      <c r="AA25" s="3">
        <v>3</v>
      </c>
      <c r="AB25" s="3">
        <v>4</v>
      </c>
      <c r="AC25" s="3">
        <v>4</v>
      </c>
      <c r="AD25" s="8">
        <f t="shared" si="0"/>
        <v>3.8888888888888888</v>
      </c>
      <c r="AE25" s="4">
        <v>4</v>
      </c>
      <c r="AF25" s="4">
        <v>2</v>
      </c>
      <c r="AG25" s="4">
        <v>3</v>
      </c>
      <c r="AH25" s="4">
        <v>5</v>
      </c>
      <c r="AI25" s="4">
        <v>3</v>
      </c>
      <c r="AJ25" s="4">
        <v>3</v>
      </c>
      <c r="AK25" s="4">
        <v>3</v>
      </c>
      <c r="AL25" s="4">
        <v>3</v>
      </c>
      <c r="AM25" s="4">
        <v>2</v>
      </c>
      <c r="AN25" s="8">
        <f t="shared" si="1"/>
        <v>3.1111111111111112</v>
      </c>
      <c r="AO25" s="4">
        <v>3</v>
      </c>
      <c r="AP25" s="4">
        <v>1</v>
      </c>
      <c r="AQ25" s="4">
        <v>1</v>
      </c>
      <c r="AR25" s="4">
        <v>4</v>
      </c>
      <c r="AS25" s="4">
        <v>3</v>
      </c>
      <c r="AT25" s="4">
        <v>2</v>
      </c>
      <c r="AU25" s="4">
        <v>2</v>
      </c>
      <c r="AV25" s="4">
        <v>3</v>
      </c>
      <c r="AW25" s="4">
        <v>1</v>
      </c>
      <c r="AX25" s="8">
        <f t="shared" si="2"/>
        <v>2.2222222222222223</v>
      </c>
      <c r="AY25" s="8">
        <f t="shared" si="3"/>
        <v>3.074074074074074</v>
      </c>
    </row>
    <row r="26" spans="1:51">
      <c r="A26" s="25"/>
      <c r="B26" s="25"/>
      <c r="C26" s="23"/>
      <c r="D26" s="4" t="s">
        <v>56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U26" s="4">
        <v>3</v>
      </c>
      <c r="V26" s="3">
        <v>5</v>
      </c>
      <c r="W26" s="3">
        <v>4</v>
      </c>
      <c r="X26" s="3">
        <v>5</v>
      </c>
      <c r="Y26" s="3">
        <v>4</v>
      </c>
      <c r="Z26" s="3">
        <v>3</v>
      </c>
      <c r="AA26" s="3">
        <v>4</v>
      </c>
      <c r="AB26" s="3">
        <v>4</v>
      </c>
      <c r="AC26" s="3">
        <v>4</v>
      </c>
      <c r="AD26" s="8">
        <f t="shared" si="0"/>
        <v>4</v>
      </c>
      <c r="AE26" s="4">
        <v>3</v>
      </c>
      <c r="AF26" s="4">
        <v>3</v>
      </c>
      <c r="AG26" s="4">
        <v>3</v>
      </c>
      <c r="AH26" s="4">
        <v>3</v>
      </c>
      <c r="AI26" s="4">
        <v>3</v>
      </c>
      <c r="AJ26" s="4">
        <v>4</v>
      </c>
      <c r="AK26" s="4">
        <v>3</v>
      </c>
      <c r="AL26" s="4">
        <v>3</v>
      </c>
      <c r="AM26" s="4">
        <v>2</v>
      </c>
      <c r="AN26" s="8">
        <f t="shared" si="1"/>
        <v>3</v>
      </c>
      <c r="AO26" s="4">
        <v>3</v>
      </c>
      <c r="AP26" s="4">
        <v>1</v>
      </c>
      <c r="AQ26" s="4">
        <v>1</v>
      </c>
      <c r="AR26" s="4">
        <v>2</v>
      </c>
      <c r="AS26" s="4">
        <v>3</v>
      </c>
      <c r="AT26" s="4">
        <v>1</v>
      </c>
      <c r="AU26" s="4">
        <v>2</v>
      </c>
      <c r="AV26" s="4">
        <v>3</v>
      </c>
      <c r="AW26" s="4">
        <v>1</v>
      </c>
      <c r="AX26" s="8">
        <f t="shared" si="2"/>
        <v>1.8888888888888888</v>
      </c>
      <c r="AY26" s="8">
        <f t="shared" si="3"/>
        <v>2.9629629629629632</v>
      </c>
    </row>
    <row r="27" spans="1:51" ht="34.5">
      <c r="A27" s="25"/>
      <c r="B27" s="25"/>
      <c r="C27" s="24"/>
      <c r="D27" s="4" t="s">
        <v>57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U27" s="4">
        <v>3</v>
      </c>
      <c r="V27" s="3">
        <v>4</v>
      </c>
      <c r="W27" s="3">
        <v>4</v>
      </c>
      <c r="X27" s="3">
        <v>5</v>
      </c>
      <c r="Y27" s="3">
        <v>3</v>
      </c>
      <c r="Z27" s="3">
        <v>5</v>
      </c>
      <c r="AA27" s="3">
        <v>5</v>
      </c>
      <c r="AB27" s="3">
        <v>4</v>
      </c>
      <c r="AC27" s="3">
        <v>4</v>
      </c>
      <c r="AD27" s="8">
        <f t="shared" si="0"/>
        <v>4.1111111111111107</v>
      </c>
      <c r="AE27" s="4">
        <v>3</v>
      </c>
      <c r="AF27" s="4">
        <v>2</v>
      </c>
      <c r="AG27" s="4">
        <v>3</v>
      </c>
      <c r="AH27" s="4">
        <v>3</v>
      </c>
      <c r="AI27" s="4">
        <v>3</v>
      </c>
      <c r="AJ27" s="4">
        <v>4</v>
      </c>
      <c r="AK27" s="4">
        <v>3</v>
      </c>
      <c r="AL27" s="4">
        <v>3</v>
      </c>
      <c r="AM27" s="4">
        <v>2</v>
      </c>
      <c r="AN27" s="8">
        <f t="shared" si="1"/>
        <v>2.8888888888888888</v>
      </c>
      <c r="AO27" s="4">
        <v>3</v>
      </c>
      <c r="AP27" s="4">
        <v>1</v>
      </c>
      <c r="AQ27" s="4">
        <v>1</v>
      </c>
      <c r="AR27" s="4">
        <v>2</v>
      </c>
      <c r="AS27" s="4">
        <v>3</v>
      </c>
      <c r="AT27" s="4">
        <v>1</v>
      </c>
      <c r="AU27" s="4">
        <v>2</v>
      </c>
      <c r="AV27" s="4">
        <v>3</v>
      </c>
      <c r="AW27" s="4">
        <v>1</v>
      </c>
      <c r="AX27" s="8">
        <f t="shared" si="2"/>
        <v>1.8888888888888888</v>
      </c>
      <c r="AY27" s="8">
        <f t="shared" si="3"/>
        <v>2.9629629629629632</v>
      </c>
    </row>
    <row r="28" spans="1:51" ht="34.5">
      <c r="A28" s="16" t="s">
        <v>15</v>
      </c>
      <c r="B28" s="16" t="s">
        <v>16</v>
      </c>
      <c r="C28" s="22" t="s">
        <v>17</v>
      </c>
      <c r="D28" s="4" t="s">
        <v>58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U28" s="4">
        <v>5</v>
      </c>
      <c r="V28" s="3">
        <v>5</v>
      </c>
      <c r="W28" s="3">
        <v>5</v>
      </c>
      <c r="X28" s="3">
        <v>3</v>
      </c>
      <c r="Y28" s="3">
        <v>5</v>
      </c>
      <c r="Z28" s="3">
        <v>4</v>
      </c>
      <c r="AA28" s="3">
        <v>5</v>
      </c>
      <c r="AB28" s="3">
        <v>4</v>
      </c>
      <c r="AC28" s="3">
        <v>4</v>
      </c>
      <c r="AD28" s="8">
        <f t="shared" si="0"/>
        <v>4.4444444444444446</v>
      </c>
      <c r="AE28" s="4">
        <v>4</v>
      </c>
      <c r="AF28" s="4">
        <v>4</v>
      </c>
      <c r="AG28" s="4">
        <v>3</v>
      </c>
      <c r="AH28" s="4">
        <v>4</v>
      </c>
      <c r="AI28" s="4">
        <v>4</v>
      </c>
      <c r="AJ28" s="4">
        <v>3</v>
      </c>
      <c r="AK28" s="4">
        <v>4</v>
      </c>
      <c r="AL28" s="4">
        <v>5</v>
      </c>
      <c r="AM28" s="4">
        <v>3</v>
      </c>
      <c r="AN28" s="8">
        <f t="shared" si="1"/>
        <v>3.7777777777777777</v>
      </c>
      <c r="AO28" s="4">
        <v>5</v>
      </c>
      <c r="AP28" s="4">
        <v>2</v>
      </c>
      <c r="AQ28" s="4">
        <v>1</v>
      </c>
      <c r="AR28" s="4">
        <v>4</v>
      </c>
      <c r="AS28" s="4">
        <v>4</v>
      </c>
      <c r="AT28" s="4">
        <v>4</v>
      </c>
      <c r="AU28" s="4">
        <v>3</v>
      </c>
      <c r="AV28" s="4">
        <v>4</v>
      </c>
      <c r="AW28" s="4">
        <v>2</v>
      </c>
      <c r="AX28" s="8">
        <f t="shared" si="2"/>
        <v>3.2222222222222223</v>
      </c>
      <c r="AY28" s="8">
        <f t="shared" si="3"/>
        <v>3.8148148148148144</v>
      </c>
    </row>
    <row r="29" spans="1:51">
      <c r="A29" s="17"/>
      <c r="B29" s="17"/>
      <c r="C29" s="23"/>
      <c r="D29" s="4" t="s">
        <v>59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U29" s="4">
        <v>5</v>
      </c>
      <c r="V29" s="3">
        <v>5</v>
      </c>
      <c r="W29" s="3">
        <v>4</v>
      </c>
      <c r="X29" s="3">
        <v>3</v>
      </c>
      <c r="Y29" s="3">
        <v>4</v>
      </c>
      <c r="Z29" s="3">
        <v>3</v>
      </c>
      <c r="AA29" s="3">
        <v>3</v>
      </c>
      <c r="AB29" s="3">
        <v>4</v>
      </c>
      <c r="AC29" s="3">
        <v>4</v>
      </c>
      <c r="AD29" s="8">
        <f t="shared" si="0"/>
        <v>3.8888888888888888</v>
      </c>
      <c r="AE29" s="4">
        <v>4</v>
      </c>
      <c r="AF29" s="4">
        <v>3</v>
      </c>
      <c r="AG29" s="4">
        <v>3</v>
      </c>
      <c r="AH29" s="4">
        <v>4</v>
      </c>
      <c r="AI29" s="4">
        <v>4</v>
      </c>
      <c r="AJ29" s="4">
        <v>3</v>
      </c>
      <c r="AK29" s="4">
        <v>3</v>
      </c>
      <c r="AL29" s="4">
        <v>3</v>
      </c>
      <c r="AM29" s="4">
        <v>3</v>
      </c>
      <c r="AN29" s="8">
        <f t="shared" si="1"/>
        <v>3.3333333333333335</v>
      </c>
      <c r="AO29" s="4">
        <v>5</v>
      </c>
      <c r="AP29" s="4">
        <v>2</v>
      </c>
      <c r="AQ29" s="4">
        <v>1</v>
      </c>
      <c r="AR29" s="4">
        <v>3</v>
      </c>
      <c r="AS29" s="4">
        <v>4</v>
      </c>
      <c r="AT29" s="4">
        <v>4</v>
      </c>
      <c r="AU29" s="4">
        <v>2</v>
      </c>
      <c r="AV29" s="4">
        <v>4</v>
      </c>
      <c r="AW29" s="4">
        <v>2</v>
      </c>
      <c r="AX29" s="8">
        <f t="shared" si="2"/>
        <v>3</v>
      </c>
      <c r="AY29" s="8">
        <f t="shared" si="3"/>
        <v>3.407407407407407</v>
      </c>
    </row>
    <row r="30" spans="1:51" ht="34.5">
      <c r="A30" s="17"/>
      <c r="B30" s="17"/>
      <c r="C30" s="23"/>
      <c r="D30" s="4" t="s">
        <v>60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U30" s="4">
        <v>5</v>
      </c>
      <c r="V30" s="3">
        <v>5</v>
      </c>
      <c r="W30" s="3">
        <v>5</v>
      </c>
      <c r="X30" s="3">
        <v>5</v>
      </c>
      <c r="Y30" s="3">
        <v>5</v>
      </c>
      <c r="Z30" s="3">
        <v>5</v>
      </c>
      <c r="AA30" s="3">
        <v>4</v>
      </c>
      <c r="AB30" s="3">
        <v>4</v>
      </c>
      <c r="AC30" s="3">
        <v>4</v>
      </c>
      <c r="AD30" s="8">
        <f t="shared" si="0"/>
        <v>4.666666666666667</v>
      </c>
      <c r="AE30" s="4">
        <v>4</v>
      </c>
      <c r="AF30" s="4">
        <v>3</v>
      </c>
      <c r="AG30" s="4">
        <v>3</v>
      </c>
      <c r="AH30" s="4">
        <v>3</v>
      </c>
      <c r="AI30" s="4">
        <v>4</v>
      </c>
      <c r="AJ30" s="4">
        <v>4</v>
      </c>
      <c r="AK30" s="4">
        <v>3</v>
      </c>
      <c r="AL30" s="4">
        <v>4</v>
      </c>
      <c r="AM30" s="4">
        <v>3</v>
      </c>
      <c r="AN30" s="8">
        <f t="shared" si="1"/>
        <v>3.4444444444444446</v>
      </c>
      <c r="AO30" s="4">
        <v>5</v>
      </c>
      <c r="AP30" s="4">
        <v>2</v>
      </c>
      <c r="AQ30" s="4">
        <v>2</v>
      </c>
      <c r="AR30" s="4">
        <v>3</v>
      </c>
      <c r="AS30" s="4">
        <v>4</v>
      </c>
      <c r="AT30" s="4">
        <v>5</v>
      </c>
      <c r="AU30" s="4">
        <v>3</v>
      </c>
      <c r="AV30" s="4">
        <v>4</v>
      </c>
      <c r="AW30" s="4">
        <v>2</v>
      </c>
      <c r="AX30" s="8">
        <f t="shared" si="2"/>
        <v>3.3333333333333335</v>
      </c>
      <c r="AY30" s="8">
        <f t="shared" si="3"/>
        <v>3.8148148148148149</v>
      </c>
    </row>
    <row r="31" spans="1:51">
      <c r="A31" s="17"/>
      <c r="B31" s="17"/>
      <c r="C31" s="24"/>
      <c r="D31" s="4" t="s">
        <v>61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U31" s="4">
        <v>5</v>
      </c>
      <c r="V31" s="3">
        <v>5</v>
      </c>
      <c r="W31" s="3">
        <v>5</v>
      </c>
      <c r="X31" s="3">
        <v>4</v>
      </c>
      <c r="Y31" s="3">
        <v>4</v>
      </c>
      <c r="Z31" s="3">
        <v>4</v>
      </c>
      <c r="AA31" s="3">
        <v>4</v>
      </c>
      <c r="AB31" s="3">
        <v>4</v>
      </c>
      <c r="AC31" s="3">
        <v>4</v>
      </c>
      <c r="AD31" s="8">
        <f t="shared" si="0"/>
        <v>4.333333333333333</v>
      </c>
      <c r="AE31" s="4">
        <v>4</v>
      </c>
      <c r="AF31" s="4">
        <v>2</v>
      </c>
      <c r="AG31" s="4">
        <v>2</v>
      </c>
      <c r="AH31" s="4">
        <v>4</v>
      </c>
      <c r="AI31" s="4">
        <v>4</v>
      </c>
      <c r="AJ31" s="4">
        <v>3</v>
      </c>
      <c r="AK31" s="4">
        <v>3</v>
      </c>
      <c r="AL31" s="4">
        <v>4</v>
      </c>
      <c r="AM31" s="4">
        <v>3</v>
      </c>
      <c r="AN31" s="8">
        <f t="shared" si="1"/>
        <v>3.2222222222222223</v>
      </c>
      <c r="AO31" s="4">
        <v>5</v>
      </c>
      <c r="AP31" s="4">
        <v>2</v>
      </c>
      <c r="AQ31" s="4">
        <v>2</v>
      </c>
      <c r="AR31" s="4">
        <v>5</v>
      </c>
      <c r="AS31" s="4">
        <v>3</v>
      </c>
      <c r="AT31" s="4">
        <v>4</v>
      </c>
      <c r="AU31" s="4">
        <v>3</v>
      </c>
      <c r="AV31" s="4">
        <v>4</v>
      </c>
      <c r="AW31" s="4">
        <v>2</v>
      </c>
      <c r="AX31" s="8">
        <f t="shared" si="2"/>
        <v>3.3333333333333335</v>
      </c>
      <c r="AY31" s="8">
        <f t="shared" si="3"/>
        <v>3.6296296296296298</v>
      </c>
    </row>
    <row r="32" spans="1:51" ht="34.5">
      <c r="A32" s="17"/>
      <c r="B32" s="17"/>
      <c r="C32" s="22" t="s">
        <v>18</v>
      </c>
      <c r="D32" s="4" t="s">
        <v>62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U32" s="4">
        <v>5</v>
      </c>
      <c r="V32" s="3">
        <v>5</v>
      </c>
      <c r="W32" s="3">
        <v>5</v>
      </c>
      <c r="X32" s="3">
        <v>4</v>
      </c>
      <c r="Y32" s="3">
        <v>4</v>
      </c>
      <c r="Z32" s="3">
        <v>5</v>
      </c>
      <c r="AA32" s="3">
        <v>5</v>
      </c>
      <c r="AB32" s="3">
        <v>4</v>
      </c>
      <c r="AC32" s="3">
        <v>4</v>
      </c>
      <c r="AD32" s="8">
        <f t="shared" si="0"/>
        <v>4.5555555555555554</v>
      </c>
      <c r="AE32" s="4">
        <v>5</v>
      </c>
      <c r="AF32" s="4">
        <v>4</v>
      </c>
      <c r="AG32" s="4">
        <v>4</v>
      </c>
      <c r="AH32" s="4">
        <v>5</v>
      </c>
      <c r="AI32" s="4">
        <v>3</v>
      </c>
      <c r="AJ32" s="4">
        <v>4</v>
      </c>
      <c r="AK32" s="4">
        <v>4</v>
      </c>
      <c r="AL32" s="4">
        <v>4</v>
      </c>
      <c r="AM32" s="4">
        <v>4</v>
      </c>
      <c r="AN32" s="8">
        <f t="shared" si="1"/>
        <v>4.1111111111111107</v>
      </c>
      <c r="AO32" s="4">
        <v>4</v>
      </c>
      <c r="AP32" s="4">
        <v>2</v>
      </c>
      <c r="AQ32" s="4">
        <v>1</v>
      </c>
      <c r="AR32" s="4">
        <v>3</v>
      </c>
      <c r="AS32" s="4">
        <v>3</v>
      </c>
      <c r="AT32" s="4">
        <v>3</v>
      </c>
      <c r="AU32" s="4">
        <v>2</v>
      </c>
      <c r="AV32" s="4">
        <v>3</v>
      </c>
      <c r="AW32" s="4">
        <v>2</v>
      </c>
      <c r="AX32" s="8">
        <f t="shared" si="2"/>
        <v>2.5555555555555554</v>
      </c>
      <c r="AY32" s="8">
        <f t="shared" si="3"/>
        <v>3.7407407407407405</v>
      </c>
    </row>
    <row r="33" spans="1:51" ht="34.5">
      <c r="A33" s="17"/>
      <c r="B33" s="17"/>
      <c r="C33" s="23"/>
      <c r="D33" s="4" t="s">
        <v>63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U33" s="4">
        <v>4</v>
      </c>
      <c r="V33" s="3">
        <v>5</v>
      </c>
      <c r="W33" s="3">
        <v>5</v>
      </c>
      <c r="X33" s="3">
        <v>4</v>
      </c>
      <c r="Y33" s="3">
        <v>3</v>
      </c>
      <c r="Z33" s="3">
        <v>4</v>
      </c>
      <c r="AA33" s="3">
        <v>5</v>
      </c>
      <c r="AB33" s="3">
        <v>4</v>
      </c>
      <c r="AC33" s="3">
        <v>4</v>
      </c>
      <c r="AD33" s="8">
        <f t="shared" si="0"/>
        <v>4.2222222222222223</v>
      </c>
      <c r="AE33" s="4">
        <v>4</v>
      </c>
      <c r="AF33" s="4">
        <v>5</v>
      </c>
      <c r="AG33" s="4">
        <v>5</v>
      </c>
      <c r="AH33" s="4">
        <v>5</v>
      </c>
      <c r="AI33" s="4">
        <v>3</v>
      </c>
      <c r="AJ33" s="4">
        <v>4</v>
      </c>
      <c r="AK33" s="4">
        <v>4</v>
      </c>
      <c r="AL33" s="4">
        <v>3</v>
      </c>
      <c r="AM33" s="4">
        <v>4</v>
      </c>
      <c r="AN33" s="8">
        <f t="shared" si="1"/>
        <v>4.1111111111111107</v>
      </c>
      <c r="AO33" s="4">
        <v>4</v>
      </c>
      <c r="AP33" s="4">
        <v>2</v>
      </c>
      <c r="AQ33" s="4">
        <v>1</v>
      </c>
      <c r="AR33" s="4">
        <v>4</v>
      </c>
      <c r="AS33" s="4">
        <v>3</v>
      </c>
      <c r="AT33" s="4">
        <v>3</v>
      </c>
      <c r="AU33" s="4">
        <v>2</v>
      </c>
      <c r="AV33" s="4">
        <v>3</v>
      </c>
      <c r="AW33" s="4">
        <v>2</v>
      </c>
      <c r="AX33" s="8">
        <f t="shared" si="2"/>
        <v>2.6666666666666665</v>
      </c>
      <c r="AY33" s="8">
        <f t="shared" si="3"/>
        <v>3.6666666666666661</v>
      </c>
    </row>
    <row r="34" spans="1:51" ht="34.5">
      <c r="A34" s="17"/>
      <c r="B34" s="17"/>
      <c r="C34" s="23"/>
      <c r="D34" s="4" t="s">
        <v>64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U34" s="4">
        <v>4</v>
      </c>
      <c r="V34" s="3">
        <v>5</v>
      </c>
      <c r="W34" s="3">
        <v>5</v>
      </c>
      <c r="X34" s="3">
        <v>3</v>
      </c>
      <c r="Y34" s="3">
        <v>3</v>
      </c>
      <c r="Z34" s="3">
        <v>4</v>
      </c>
      <c r="AA34" s="3">
        <v>3</v>
      </c>
      <c r="AB34" s="3">
        <v>4</v>
      </c>
      <c r="AC34" s="3">
        <v>4</v>
      </c>
      <c r="AD34" s="8">
        <f t="shared" si="0"/>
        <v>3.8888888888888888</v>
      </c>
      <c r="AE34" s="4">
        <v>4</v>
      </c>
      <c r="AF34" s="4">
        <v>4</v>
      </c>
      <c r="AG34" s="4">
        <v>4</v>
      </c>
      <c r="AH34" s="4">
        <v>5</v>
      </c>
      <c r="AI34" s="4">
        <v>4</v>
      </c>
      <c r="AJ34" s="4">
        <v>4</v>
      </c>
      <c r="AK34" s="4">
        <v>3</v>
      </c>
      <c r="AL34" s="4">
        <v>4</v>
      </c>
      <c r="AM34" s="4">
        <v>4</v>
      </c>
      <c r="AN34" s="8">
        <f t="shared" si="1"/>
        <v>4</v>
      </c>
      <c r="AO34" s="4">
        <v>4</v>
      </c>
      <c r="AP34" s="4">
        <v>2</v>
      </c>
      <c r="AQ34" s="4">
        <v>1</v>
      </c>
      <c r="AR34" s="4">
        <v>3</v>
      </c>
      <c r="AS34" s="4">
        <v>3</v>
      </c>
      <c r="AT34" s="4">
        <v>3</v>
      </c>
      <c r="AU34" s="4">
        <v>1</v>
      </c>
      <c r="AV34" s="4">
        <v>3</v>
      </c>
      <c r="AW34" s="4">
        <v>2</v>
      </c>
      <c r="AX34" s="8">
        <f t="shared" si="2"/>
        <v>2.4444444444444446</v>
      </c>
      <c r="AY34" s="8">
        <f t="shared" si="3"/>
        <v>3.4444444444444446</v>
      </c>
    </row>
    <row r="35" spans="1:51">
      <c r="A35" s="17"/>
      <c r="B35" s="17"/>
      <c r="C35" s="23"/>
      <c r="D35" s="4" t="s">
        <v>65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U35" s="4">
        <v>4</v>
      </c>
      <c r="V35" s="3">
        <v>5</v>
      </c>
      <c r="W35" s="3">
        <v>5</v>
      </c>
      <c r="X35" s="3">
        <v>4</v>
      </c>
      <c r="Y35" s="3">
        <v>4</v>
      </c>
      <c r="Z35" s="3">
        <v>4</v>
      </c>
      <c r="AA35" s="3">
        <v>4</v>
      </c>
      <c r="AB35" s="3">
        <v>4</v>
      </c>
      <c r="AC35" s="3">
        <v>4</v>
      </c>
      <c r="AD35" s="8">
        <f t="shared" si="0"/>
        <v>4.2222222222222223</v>
      </c>
      <c r="AE35" s="4">
        <v>4</v>
      </c>
      <c r="AF35" s="4">
        <v>4</v>
      </c>
      <c r="AG35" s="4">
        <v>4</v>
      </c>
      <c r="AH35" s="4">
        <v>4</v>
      </c>
      <c r="AI35" s="4">
        <v>3</v>
      </c>
      <c r="AJ35" s="4">
        <v>3</v>
      </c>
      <c r="AK35" s="4">
        <v>3</v>
      </c>
      <c r="AL35" s="4">
        <v>3</v>
      </c>
      <c r="AM35" s="4">
        <v>3</v>
      </c>
      <c r="AN35" s="8">
        <f t="shared" si="1"/>
        <v>3.4444444444444446</v>
      </c>
      <c r="AO35" s="4">
        <v>4</v>
      </c>
      <c r="AP35" s="4">
        <v>2</v>
      </c>
      <c r="AQ35" s="4">
        <v>1</v>
      </c>
      <c r="AR35" s="4">
        <v>3</v>
      </c>
      <c r="AS35" s="4">
        <v>3</v>
      </c>
      <c r="AT35" s="4">
        <v>3</v>
      </c>
      <c r="AU35" s="4">
        <v>2</v>
      </c>
      <c r="AV35" s="4">
        <v>3</v>
      </c>
      <c r="AW35" s="4">
        <v>2</v>
      </c>
      <c r="AX35" s="8">
        <f t="shared" si="2"/>
        <v>2.5555555555555554</v>
      </c>
      <c r="AY35" s="8">
        <f t="shared" si="3"/>
        <v>3.407407407407407</v>
      </c>
    </row>
    <row r="36" spans="1:51" ht="34.5">
      <c r="A36" s="17"/>
      <c r="B36" s="17"/>
      <c r="C36" s="22" t="s">
        <v>19</v>
      </c>
      <c r="D36" s="4" t="s">
        <v>66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U36" s="4">
        <v>3</v>
      </c>
      <c r="V36" s="3">
        <v>5</v>
      </c>
      <c r="W36" s="3">
        <v>4</v>
      </c>
      <c r="X36" s="3">
        <v>5</v>
      </c>
      <c r="Y36" s="3">
        <v>4</v>
      </c>
      <c r="Z36" s="3">
        <v>3</v>
      </c>
      <c r="AA36" s="3">
        <v>4</v>
      </c>
      <c r="AB36" s="3">
        <v>3</v>
      </c>
      <c r="AC36" s="3">
        <v>4</v>
      </c>
      <c r="AD36" s="8">
        <f t="shared" si="0"/>
        <v>3.8888888888888888</v>
      </c>
      <c r="AE36" s="4">
        <v>5</v>
      </c>
      <c r="AF36" s="4">
        <v>5</v>
      </c>
      <c r="AG36" s="4">
        <v>3</v>
      </c>
      <c r="AH36" s="4">
        <v>3</v>
      </c>
      <c r="AI36" s="4">
        <v>4</v>
      </c>
      <c r="AJ36" s="4">
        <v>4</v>
      </c>
      <c r="AK36" s="4">
        <v>3</v>
      </c>
      <c r="AL36" s="4">
        <v>3</v>
      </c>
      <c r="AM36" s="4">
        <v>4</v>
      </c>
      <c r="AN36" s="8">
        <f t="shared" si="1"/>
        <v>3.7777777777777777</v>
      </c>
      <c r="AO36" s="4">
        <v>4</v>
      </c>
      <c r="AP36" s="4">
        <v>1</v>
      </c>
      <c r="AQ36" s="4">
        <v>1</v>
      </c>
      <c r="AR36" s="4">
        <v>3</v>
      </c>
      <c r="AS36" s="4">
        <v>3</v>
      </c>
      <c r="AT36" s="4">
        <v>2</v>
      </c>
      <c r="AU36" s="4">
        <v>2</v>
      </c>
      <c r="AV36" s="4">
        <v>3</v>
      </c>
      <c r="AW36" s="4">
        <v>1</v>
      </c>
      <c r="AX36" s="8">
        <f t="shared" si="2"/>
        <v>2.2222222222222223</v>
      </c>
      <c r="AY36" s="8">
        <f t="shared" si="3"/>
        <v>3.2962962962962963</v>
      </c>
    </row>
    <row r="37" spans="1:51" ht="34.5">
      <c r="A37" s="17"/>
      <c r="B37" s="17"/>
      <c r="C37" s="24"/>
      <c r="D37" s="4" t="s">
        <v>67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U37" s="4">
        <v>4</v>
      </c>
      <c r="V37" s="3">
        <v>5</v>
      </c>
      <c r="W37" s="3">
        <v>5</v>
      </c>
      <c r="X37" s="3">
        <v>4</v>
      </c>
      <c r="Y37" s="3">
        <v>5</v>
      </c>
      <c r="Z37" s="3">
        <v>3</v>
      </c>
      <c r="AA37" s="3">
        <v>4</v>
      </c>
      <c r="AB37" s="3">
        <v>3</v>
      </c>
      <c r="AC37" s="3">
        <v>2</v>
      </c>
      <c r="AD37" s="8">
        <f t="shared" si="0"/>
        <v>3.8888888888888888</v>
      </c>
      <c r="AE37" s="4">
        <v>5</v>
      </c>
      <c r="AF37" s="4">
        <v>5</v>
      </c>
      <c r="AG37" s="4">
        <v>3</v>
      </c>
      <c r="AH37" s="4">
        <v>5</v>
      </c>
      <c r="AI37" s="4">
        <v>4</v>
      </c>
      <c r="AJ37" s="4">
        <v>4</v>
      </c>
      <c r="AK37" s="4">
        <v>3</v>
      </c>
      <c r="AL37" s="4">
        <v>3</v>
      </c>
      <c r="AM37" s="4">
        <v>3</v>
      </c>
      <c r="AN37" s="8">
        <f t="shared" si="1"/>
        <v>3.8888888888888888</v>
      </c>
      <c r="AO37" s="4">
        <v>5</v>
      </c>
      <c r="AP37" s="4">
        <v>2</v>
      </c>
      <c r="AQ37" s="4">
        <v>1</v>
      </c>
      <c r="AR37" s="4">
        <v>5</v>
      </c>
      <c r="AS37" s="4">
        <v>4</v>
      </c>
      <c r="AT37" s="4">
        <v>2</v>
      </c>
      <c r="AU37" s="4">
        <v>2</v>
      </c>
      <c r="AV37" s="4">
        <v>3</v>
      </c>
      <c r="AW37" s="4">
        <v>1</v>
      </c>
      <c r="AX37" s="8">
        <f t="shared" si="2"/>
        <v>2.7777777777777777</v>
      </c>
      <c r="AY37" s="8">
        <f t="shared" si="3"/>
        <v>3.5185185185185186</v>
      </c>
    </row>
    <row r="38" spans="1:51" ht="34.5">
      <c r="A38" s="17"/>
      <c r="B38" s="17"/>
      <c r="C38" s="22" t="s">
        <v>20</v>
      </c>
      <c r="D38" s="4" t="s">
        <v>68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U38" s="4">
        <v>5</v>
      </c>
      <c r="V38" s="3">
        <v>5</v>
      </c>
      <c r="W38" s="3">
        <v>5</v>
      </c>
      <c r="X38" s="3">
        <v>3</v>
      </c>
      <c r="Y38" s="3">
        <v>5</v>
      </c>
      <c r="Z38" s="3">
        <v>5</v>
      </c>
      <c r="AA38" s="3">
        <v>4</v>
      </c>
      <c r="AB38" s="3">
        <v>4</v>
      </c>
      <c r="AC38" s="3">
        <v>4</v>
      </c>
      <c r="AD38" s="8">
        <f t="shared" si="0"/>
        <v>4.4444444444444446</v>
      </c>
      <c r="AE38" s="4">
        <v>5</v>
      </c>
      <c r="AF38" s="4">
        <v>2</v>
      </c>
      <c r="AG38" s="4">
        <v>3</v>
      </c>
      <c r="AH38" s="4">
        <v>5</v>
      </c>
      <c r="AI38" s="4">
        <v>5</v>
      </c>
      <c r="AJ38" s="4">
        <v>5</v>
      </c>
      <c r="AK38" s="4">
        <v>4</v>
      </c>
      <c r="AL38" s="4">
        <v>3</v>
      </c>
      <c r="AM38" s="4">
        <v>3</v>
      </c>
      <c r="AN38" s="8">
        <f t="shared" si="1"/>
        <v>3.8888888888888888</v>
      </c>
      <c r="AO38" s="4">
        <v>5</v>
      </c>
      <c r="AP38" s="4">
        <v>2</v>
      </c>
      <c r="AQ38" s="4">
        <v>1</v>
      </c>
      <c r="AR38" s="4">
        <v>5</v>
      </c>
      <c r="AS38" s="4">
        <v>4</v>
      </c>
      <c r="AT38" s="4">
        <v>4</v>
      </c>
      <c r="AU38" s="4">
        <v>2</v>
      </c>
      <c r="AV38" s="4">
        <v>4</v>
      </c>
      <c r="AW38" s="4">
        <v>2</v>
      </c>
      <c r="AX38" s="8">
        <f t="shared" si="2"/>
        <v>3.2222222222222223</v>
      </c>
      <c r="AY38" s="8">
        <f t="shared" si="3"/>
        <v>3.8518518518518525</v>
      </c>
    </row>
    <row r="39" spans="1:51">
      <c r="A39" s="17"/>
      <c r="B39" s="17"/>
      <c r="C39" s="23"/>
      <c r="D39" s="4" t="s">
        <v>69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U39" s="4">
        <v>5</v>
      </c>
      <c r="V39" s="3">
        <v>4</v>
      </c>
      <c r="W39" s="3">
        <v>5</v>
      </c>
      <c r="X39" s="3">
        <v>3</v>
      </c>
      <c r="Y39" s="3">
        <v>5</v>
      </c>
      <c r="Z39" s="3">
        <v>5</v>
      </c>
      <c r="AA39" s="3">
        <v>4</v>
      </c>
      <c r="AB39" s="3">
        <v>3</v>
      </c>
      <c r="AC39" s="3">
        <v>4</v>
      </c>
      <c r="AD39" s="8">
        <f t="shared" si="0"/>
        <v>4.2222222222222223</v>
      </c>
      <c r="AE39" s="4">
        <v>4</v>
      </c>
      <c r="AF39" s="4">
        <v>2</v>
      </c>
      <c r="AG39" s="4">
        <v>3</v>
      </c>
      <c r="AH39" s="4">
        <v>2</v>
      </c>
      <c r="AI39" s="4">
        <v>5</v>
      </c>
      <c r="AJ39" s="4">
        <v>5</v>
      </c>
      <c r="AK39" s="4">
        <v>4</v>
      </c>
      <c r="AL39" s="4">
        <v>3</v>
      </c>
      <c r="AM39" s="4">
        <v>3</v>
      </c>
      <c r="AN39" s="8">
        <f t="shared" si="1"/>
        <v>3.4444444444444446</v>
      </c>
      <c r="AO39" s="4">
        <v>5</v>
      </c>
      <c r="AP39" s="4">
        <v>1</v>
      </c>
      <c r="AQ39" s="4">
        <v>1</v>
      </c>
      <c r="AR39" s="4">
        <v>3</v>
      </c>
      <c r="AS39" s="4">
        <v>3</v>
      </c>
      <c r="AT39" s="4">
        <v>5</v>
      </c>
      <c r="AU39" s="4">
        <v>2</v>
      </c>
      <c r="AV39" s="4">
        <v>4</v>
      </c>
      <c r="AW39" s="4">
        <v>3</v>
      </c>
      <c r="AX39" s="8">
        <f t="shared" si="2"/>
        <v>3</v>
      </c>
      <c r="AY39" s="8">
        <f t="shared" si="3"/>
        <v>3.5555555555555558</v>
      </c>
    </row>
    <row r="40" spans="1:51">
      <c r="A40" s="17"/>
      <c r="B40" s="17"/>
      <c r="C40" s="23"/>
      <c r="D40" s="4" t="s">
        <v>70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U40" s="4">
        <v>5</v>
      </c>
      <c r="V40" s="3">
        <v>4</v>
      </c>
      <c r="W40" s="3">
        <v>3</v>
      </c>
      <c r="X40" s="3">
        <v>4</v>
      </c>
      <c r="Y40" s="3">
        <v>5</v>
      </c>
      <c r="Z40" s="3">
        <v>4</v>
      </c>
      <c r="AA40" s="3">
        <v>3</v>
      </c>
      <c r="AB40" s="3">
        <v>3</v>
      </c>
      <c r="AC40" s="3">
        <v>4</v>
      </c>
      <c r="AD40" s="8">
        <f t="shared" si="0"/>
        <v>3.8888888888888888</v>
      </c>
      <c r="AE40" s="4">
        <v>4</v>
      </c>
      <c r="AF40" s="4">
        <v>1</v>
      </c>
      <c r="AG40" s="4">
        <v>3</v>
      </c>
      <c r="AH40" s="4">
        <v>3</v>
      </c>
      <c r="AI40" s="4">
        <v>5</v>
      </c>
      <c r="AJ40" s="4">
        <v>3</v>
      </c>
      <c r="AK40" s="4">
        <v>4</v>
      </c>
      <c r="AL40" s="4">
        <v>3</v>
      </c>
      <c r="AM40" s="4">
        <v>3</v>
      </c>
      <c r="AN40" s="8">
        <f t="shared" si="1"/>
        <v>3.2222222222222223</v>
      </c>
      <c r="AO40" s="4">
        <v>4</v>
      </c>
      <c r="AP40" s="4">
        <v>1</v>
      </c>
      <c r="AQ40" s="4">
        <v>1</v>
      </c>
      <c r="AR40" s="4">
        <v>3</v>
      </c>
      <c r="AS40" s="4">
        <v>3</v>
      </c>
      <c r="AT40" s="4">
        <v>3</v>
      </c>
      <c r="AU40" s="4">
        <v>2</v>
      </c>
      <c r="AV40" s="4">
        <v>4</v>
      </c>
      <c r="AW40" s="4">
        <v>2</v>
      </c>
      <c r="AX40" s="8">
        <f t="shared" si="2"/>
        <v>2.5555555555555554</v>
      </c>
      <c r="AY40" s="8">
        <f t="shared" si="3"/>
        <v>3.2222222222222219</v>
      </c>
    </row>
    <row r="41" spans="1:51">
      <c r="A41" s="17"/>
      <c r="B41" s="17"/>
      <c r="C41" s="23"/>
      <c r="D41" s="4" t="s">
        <v>71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U41" s="4">
        <v>5</v>
      </c>
      <c r="V41" s="3">
        <v>5</v>
      </c>
      <c r="W41" s="3">
        <v>5</v>
      </c>
      <c r="X41" s="3">
        <v>5</v>
      </c>
      <c r="Y41" s="3">
        <v>5</v>
      </c>
      <c r="Z41" s="3">
        <v>5</v>
      </c>
      <c r="AA41" s="3">
        <v>4</v>
      </c>
      <c r="AB41" s="3">
        <v>4</v>
      </c>
      <c r="AC41" s="3">
        <v>4</v>
      </c>
      <c r="AD41" s="8">
        <f t="shared" si="0"/>
        <v>4.666666666666667</v>
      </c>
      <c r="AE41" s="4">
        <v>5</v>
      </c>
      <c r="AF41" s="4">
        <v>4</v>
      </c>
      <c r="AG41" s="4">
        <v>3</v>
      </c>
      <c r="AH41" s="4">
        <v>5</v>
      </c>
      <c r="AI41" s="4">
        <v>5</v>
      </c>
      <c r="AJ41" s="4">
        <v>4</v>
      </c>
      <c r="AK41" s="4">
        <v>5</v>
      </c>
      <c r="AL41" s="4">
        <v>4</v>
      </c>
      <c r="AM41" s="4">
        <v>3</v>
      </c>
      <c r="AN41" s="8">
        <f t="shared" si="1"/>
        <v>4.2222222222222223</v>
      </c>
      <c r="AO41" s="4">
        <v>4</v>
      </c>
      <c r="AP41" s="4">
        <v>4</v>
      </c>
      <c r="AQ41" s="4">
        <v>1</v>
      </c>
      <c r="AR41" s="4">
        <v>3</v>
      </c>
      <c r="AS41" s="4">
        <v>3</v>
      </c>
      <c r="AT41" s="4">
        <v>4</v>
      </c>
      <c r="AU41" s="4">
        <v>1</v>
      </c>
      <c r="AV41" s="4">
        <v>4</v>
      </c>
      <c r="AW41" s="4">
        <v>2</v>
      </c>
      <c r="AX41" s="8">
        <f t="shared" si="2"/>
        <v>2.8888888888888888</v>
      </c>
      <c r="AY41" s="8">
        <f t="shared" si="3"/>
        <v>3.925925925925926</v>
      </c>
    </row>
    <row r="42" spans="1:51" ht="34.5">
      <c r="A42" s="17"/>
      <c r="B42" s="17"/>
      <c r="C42" s="24"/>
      <c r="D42" s="4" t="s">
        <v>72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U42" s="4">
        <v>5</v>
      </c>
      <c r="V42" s="3">
        <v>4</v>
      </c>
      <c r="W42" s="3">
        <v>4</v>
      </c>
      <c r="X42" s="3">
        <v>4</v>
      </c>
      <c r="Y42" s="3">
        <v>4</v>
      </c>
      <c r="Z42" s="3">
        <v>2</v>
      </c>
      <c r="AA42" s="3">
        <v>4</v>
      </c>
      <c r="AB42" s="3">
        <v>4</v>
      </c>
      <c r="AC42" s="3">
        <v>4</v>
      </c>
      <c r="AD42" s="8">
        <f t="shared" si="0"/>
        <v>3.8888888888888888</v>
      </c>
      <c r="AE42" s="4">
        <v>5</v>
      </c>
      <c r="AF42" s="4">
        <v>2</v>
      </c>
      <c r="AG42" s="4">
        <v>3</v>
      </c>
      <c r="AH42" s="4">
        <v>2</v>
      </c>
      <c r="AI42" s="4">
        <v>4</v>
      </c>
      <c r="AJ42" s="4">
        <v>2</v>
      </c>
      <c r="AK42" s="4">
        <v>3</v>
      </c>
      <c r="AL42" s="4">
        <v>4</v>
      </c>
      <c r="AM42" s="4">
        <v>3</v>
      </c>
      <c r="AN42" s="8">
        <f t="shared" si="1"/>
        <v>3.1111111111111112</v>
      </c>
      <c r="AO42" s="4">
        <v>4</v>
      </c>
      <c r="AP42" s="4">
        <v>3</v>
      </c>
      <c r="AQ42" s="4">
        <v>3</v>
      </c>
      <c r="AR42" s="4">
        <v>5</v>
      </c>
      <c r="AS42" s="4">
        <v>3</v>
      </c>
      <c r="AT42" s="4">
        <v>2</v>
      </c>
      <c r="AU42" s="4">
        <v>3</v>
      </c>
      <c r="AV42" s="4">
        <v>4</v>
      </c>
      <c r="AW42" s="4">
        <v>2</v>
      </c>
      <c r="AX42" s="8">
        <f t="shared" si="2"/>
        <v>3.2222222222222223</v>
      </c>
      <c r="AY42" s="8">
        <f t="shared" si="3"/>
        <v>3.407407407407407</v>
      </c>
    </row>
    <row r="43" spans="1:51">
      <c r="A43" s="17"/>
      <c r="B43" s="17"/>
      <c r="C43" s="22" t="s">
        <v>21</v>
      </c>
      <c r="D43" s="4" t="s">
        <v>73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U43" s="4">
        <v>4</v>
      </c>
      <c r="V43" s="3">
        <v>5</v>
      </c>
      <c r="W43" s="3">
        <v>5</v>
      </c>
      <c r="X43" s="3">
        <v>4</v>
      </c>
      <c r="Y43" s="3">
        <v>5</v>
      </c>
      <c r="Z43" s="3">
        <v>4</v>
      </c>
      <c r="AA43" s="3">
        <v>4</v>
      </c>
      <c r="AB43" s="3">
        <v>4</v>
      </c>
      <c r="AC43" s="3">
        <v>4</v>
      </c>
      <c r="AD43" s="8">
        <f t="shared" si="0"/>
        <v>4.333333333333333</v>
      </c>
      <c r="AE43" s="4">
        <v>4</v>
      </c>
      <c r="AF43" s="4">
        <v>4</v>
      </c>
      <c r="AG43" s="4">
        <v>3</v>
      </c>
      <c r="AH43" s="4">
        <v>4</v>
      </c>
      <c r="AI43" s="4">
        <v>5</v>
      </c>
      <c r="AJ43" s="4">
        <v>3</v>
      </c>
      <c r="AK43" s="4">
        <v>4</v>
      </c>
      <c r="AL43" s="4">
        <v>4</v>
      </c>
      <c r="AM43" s="4">
        <v>4</v>
      </c>
      <c r="AN43" s="8">
        <f t="shared" si="1"/>
        <v>3.8888888888888888</v>
      </c>
      <c r="AO43" s="4">
        <v>4</v>
      </c>
      <c r="AP43" s="4">
        <v>3</v>
      </c>
      <c r="AQ43" s="4">
        <v>1</v>
      </c>
      <c r="AR43" s="4">
        <v>4</v>
      </c>
      <c r="AS43" s="4">
        <v>3</v>
      </c>
      <c r="AT43" s="4">
        <v>4</v>
      </c>
      <c r="AU43" s="4">
        <v>2</v>
      </c>
      <c r="AV43" s="4">
        <v>3</v>
      </c>
      <c r="AW43" s="4">
        <v>3</v>
      </c>
      <c r="AX43" s="8">
        <f t="shared" si="2"/>
        <v>3</v>
      </c>
      <c r="AY43" s="8">
        <f t="shared" si="3"/>
        <v>3.7407407407407405</v>
      </c>
    </row>
    <row r="44" spans="1:51" ht="34.5">
      <c r="A44" s="17"/>
      <c r="B44" s="17"/>
      <c r="C44" s="23"/>
      <c r="D44" s="4" t="s">
        <v>74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U44" s="4">
        <v>4</v>
      </c>
      <c r="V44" s="3">
        <v>5</v>
      </c>
      <c r="W44" s="3">
        <v>5</v>
      </c>
      <c r="X44" s="3">
        <v>5</v>
      </c>
      <c r="Y44" s="3">
        <v>4</v>
      </c>
      <c r="Z44" s="3">
        <v>4</v>
      </c>
      <c r="AA44" s="3">
        <v>4</v>
      </c>
      <c r="AB44" s="3">
        <v>4</v>
      </c>
      <c r="AC44" s="3">
        <v>4</v>
      </c>
      <c r="AD44" s="8">
        <f t="shared" si="0"/>
        <v>4.333333333333333</v>
      </c>
      <c r="AE44" s="4">
        <v>4</v>
      </c>
      <c r="AF44" s="4">
        <v>4</v>
      </c>
      <c r="AG44" s="4">
        <v>4</v>
      </c>
      <c r="AH44" s="4">
        <v>5</v>
      </c>
      <c r="AI44" s="4">
        <v>4</v>
      </c>
      <c r="AJ44" s="4">
        <v>3</v>
      </c>
      <c r="AK44" s="4">
        <v>4</v>
      </c>
      <c r="AL44" s="4">
        <v>4</v>
      </c>
      <c r="AM44" s="4">
        <v>4</v>
      </c>
      <c r="AN44" s="8">
        <f t="shared" si="1"/>
        <v>4</v>
      </c>
      <c r="AO44" s="4">
        <v>4</v>
      </c>
      <c r="AP44" s="4">
        <v>3</v>
      </c>
      <c r="AQ44" s="4">
        <v>1</v>
      </c>
      <c r="AR44" s="4">
        <v>4</v>
      </c>
      <c r="AS44" s="4">
        <v>4</v>
      </c>
      <c r="AT44" s="4">
        <v>3</v>
      </c>
      <c r="AU44" s="4">
        <v>2</v>
      </c>
      <c r="AV44" s="4">
        <v>3</v>
      </c>
      <c r="AW44" s="4">
        <v>3</v>
      </c>
      <c r="AX44" s="8">
        <f t="shared" si="2"/>
        <v>3</v>
      </c>
      <c r="AY44" s="8">
        <f t="shared" si="3"/>
        <v>3.7777777777777772</v>
      </c>
    </row>
    <row r="45" spans="1:51" ht="34.5">
      <c r="A45" s="17"/>
      <c r="B45" s="17"/>
      <c r="C45" s="23"/>
      <c r="D45" s="4" t="s">
        <v>75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U45" s="4">
        <v>5</v>
      </c>
      <c r="V45" s="3">
        <v>5</v>
      </c>
      <c r="W45" s="3">
        <v>4</v>
      </c>
      <c r="X45" s="3">
        <v>5</v>
      </c>
      <c r="Y45" s="3">
        <v>5</v>
      </c>
      <c r="Z45" s="3">
        <v>3</v>
      </c>
      <c r="AA45" s="3">
        <v>4</v>
      </c>
      <c r="AB45" s="3">
        <v>4</v>
      </c>
      <c r="AC45" s="3">
        <v>4</v>
      </c>
      <c r="AD45" s="8">
        <f t="shared" si="0"/>
        <v>4.333333333333333</v>
      </c>
      <c r="AE45" s="4">
        <v>5</v>
      </c>
      <c r="AF45" s="4">
        <v>4</v>
      </c>
      <c r="AG45" s="4">
        <v>4</v>
      </c>
      <c r="AH45" s="4">
        <v>5</v>
      </c>
      <c r="AI45" s="4">
        <v>5</v>
      </c>
      <c r="AJ45" s="4">
        <v>3</v>
      </c>
      <c r="AK45" s="4">
        <v>5</v>
      </c>
      <c r="AL45" s="4">
        <v>4</v>
      </c>
      <c r="AM45" s="4">
        <v>3</v>
      </c>
      <c r="AN45" s="8">
        <f t="shared" si="1"/>
        <v>4.2222222222222223</v>
      </c>
      <c r="AO45" s="4">
        <v>4</v>
      </c>
      <c r="AP45" s="4">
        <v>3</v>
      </c>
      <c r="AQ45" s="4">
        <v>1</v>
      </c>
      <c r="AR45" s="4">
        <v>3</v>
      </c>
      <c r="AS45" s="4">
        <v>4</v>
      </c>
      <c r="AT45" s="4">
        <v>3</v>
      </c>
      <c r="AU45" s="4">
        <v>2</v>
      </c>
      <c r="AV45" s="4">
        <v>3</v>
      </c>
      <c r="AW45" s="4">
        <v>2</v>
      </c>
      <c r="AX45" s="8">
        <f t="shared" si="2"/>
        <v>2.7777777777777777</v>
      </c>
      <c r="AY45" s="8">
        <f t="shared" si="3"/>
        <v>3.7777777777777772</v>
      </c>
    </row>
    <row r="46" spans="1:51">
      <c r="A46" s="17"/>
      <c r="B46" s="17"/>
      <c r="C46" s="23"/>
      <c r="D46" s="4" t="s">
        <v>76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U46" s="4">
        <v>4</v>
      </c>
      <c r="V46" s="3">
        <v>5</v>
      </c>
      <c r="W46" s="3">
        <v>4</v>
      </c>
      <c r="X46" s="3">
        <v>4</v>
      </c>
      <c r="Y46" s="3">
        <v>4</v>
      </c>
      <c r="Z46" s="3">
        <v>3</v>
      </c>
      <c r="AA46" s="3">
        <v>3</v>
      </c>
      <c r="AB46" s="3">
        <v>4</v>
      </c>
      <c r="AC46" s="3">
        <v>3</v>
      </c>
      <c r="AD46" s="8">
        <f t="shared" si="0"/>
        <v>3.7777777777777777</v>
      </c>
      <c r="AE46" s="4">
        <v>4</v>
      </c>
      <c r="AF46" s="4">
        <v>4</v>
      </c>
      <c r="AG46" s="4">
        <v>4</v>
      </c>
      <c r="AH46" s="4">
        <v>3</v>
      </c>
      <c r="AI46" s="4">
        <v>5</v>
      </c>
      <c r="AJ46" s="4">
        <v>4</v>
      </c>
      <c r="AK46" s="4">
        <v>4</v>
      </c>
      <c r="AL46" s="4">
        <v>4</v>
      </c>
      <c r="AM46" s="4">
        <v>3</v>
      </c>
      <c r="AN46" s="8">
        <f t="shared" si="1"/>
        <v>3.8888888888888888</v>
      </c>
      <c r="AO46" s="4">
        <v>5</v>
      </c>
      <c r="AP46" s="4">
        <v>3</v>
      </c>
      <c r="AQ46" s="4">
        <v>1</v>
      </c>
      <c r="AR46" s="4">
        <v>4</v>
      </c>
      <c r="AS46" s="4">
        <v>2</v>
      </c>
      <c r="AT46" s="4">
        <v>2</v>
      </c>
      <c r="AU46" s="4">
        <v>2</v>
      </c>
      <c r="AV46" s="4">
        <v>3</v>
      </c>
      <c r="AW46" s="4">
        <v>2</v>
      </c>
      <c r="AX46" s="8">
        <f t="shared" si="2"/>
        <v>2.6666666666666665</v>
      </c>
      <c r="AY46" s="8">
        <f t="shared" si="3"/>
        <v>3.4444444444444442</v>
      </c>
    </row>
    <row r="47" spans="1:51" ht="34.5">
      <c r="A47" s="17"/>
      <c r="B47" s="17"/>
      <c r="C47" s="24"/>
      <c r="D47" s="4" t="s">
        <v>77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U47" s="4">
        <v>4</v>
      </c>
      <c r="V47" s="3">
        <v>5</v>
      </c>
      <c r="W47" s="3">
        <v>5</v>
      </c>
      <c r="X47" s="3">
        <v>5</v>
      </c>
      <c r="Y47" s="3">
        <v>4</v>
      </c>
      <c r="Z47" s="3">
        <v>4</v>
      </c>
      <c r="AA47" s="3">
        <v>3</v>
      </c>
      <c r="AB47" s="3">
        <v>4</v>
      </c>
      <c r="AC47" s="3">
        <v>4</v>
      </c>
      <c r="AD47" s="8">
        <f t="shared" si="0"/>
        <v>4.2222222222222223</v>
      </c>
      <c r="AE47" s="4">
        <v>4</v>
      </c>
      <c r="AF47" s="4">
        <v>4</v>
      </c>
      <c r="AG47" s="4">
        <v>4</v>
      </c>
      <c r="AH47" s="4">
        <v>5</v>
      </c>
      <c r="AI47" s="4">
        <v>5</v>
      </c>
      <c r="AJ47" s="4">
        <v>5</v>
      </c>
      <c r="AK47" s="4">
        <v>4</v>
      </c>
      <c r="AL47" s="4">
        <v>4</v>
      </c>
      <c r="AM47" s="4">
        <v>4</v>
      </c>
      <c r="AN47" s="8">
        <f t="shared" si="1"/>
        <v>4.333333333333333</v>
      </c>
      <c r="AO47" s="4">
        <v>5</v>
      </c>
      <c r="AP47" s="4">
        <v>3</v>
      </c>
      <c r="AQ47" s="4">
        <v>1</v>
      </c>
      <c r="AR47" s="4">
        <v>4</v>
      </c>
      <c r="AS47" s="4">
        <v>2</v>
      </c>
      <c r="AT47" s="4">
        <v>2</v>
      </c>
      <c r="AU47" s="4">
        <v>1</v>
      </c>
      <c r="AV47" s="4">
        <v>3</v>
      </c>
      <c r="AW47" s="4">
        <v>2</v>
      </c>
      <c r="AX47" s="8">
        <f t="shared" si="2"/>
        <v>2.5555555555555554</v>
      </c>
      <c r="AY47" s="8">
        <f t="shared" si="3"/>
        <v>3.7037037037037037</v>
      </c>
    </row>
    <row r="48" spans="1:51" ht="34.5">
      <c r="A48" s="17"/>
      <c r="B48" s="17"/>
      <c r="C48" s="22" t="s">
        <v>22</v>
      </c>
      <c r="D48" s="4" t="s">
        <v>78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U48" s="4">
        <v>5</v>
      </c>
      <c r="V48" s="3">
        <v>5</v>
      </c>
      <c r="W48" s="3">
        <v>5</v>
      </c>
      <c r="X48" s="3">
        <v>4</v>
      </c>
      <c r="Y48" s="3">
        <v>4</v>
      </c>
      <c r="Z48" s="3">
        <v>3</v>
      </c>
      <c r="AA48" s="3">
        <v>3</v>
      </c>
      <c r="AB48" s="3">
        <v>3</v>
      </c>
      <c r="AC48" s="3">
        <v>4</v>
      </c>
      <c r="AD48" s="8">
        <f t="shared" si="0"/>
        <v>4</v>
      </c>
      <c r="AE48" s="4">
        <v>4</v>
      </c>
      <c r="AF48" s="4">
        <v>4</v>
      </c>
      <c r="AG48" s="4">
        <v>4</v>
      </c>
      <c r="AH48" s="4">
        <v>3</v>
      </c>
      <c r="AI48" s="4">
        <v>3</v>
      </c>
      <c r="AJ48" s="4">
        <v>2</v>
      </c>
      <c r="AK48" s="4">
        <v>3</v>
      </c>
      <c r="AL48" s="4">
        <v>3</v>
      </c>
      <c r="AM48" s="4">
        <v>3</v>
      </c>
      <c r="AN48" s="8">
        <f t="shared" si="1"/>
        <v>3.2222222222222223</v>
      </c>
      <c r="AO48" s="4">
        <v>2</v>
      </c>
      <c r="AP48" s="4">
        <v>4</v>
      </c>
      <c r="AQ48" s="4">
        <v>1</v>
      </c>
      <c r="AR48" s="4">
        <v>4</v>
      </c>
      <c r="AS48" s="4">
        <v>2</v>
      </c>
      <c r="AT48" s="4">
        <v>2</v>
      </c>
      <c r="AU48" s="4">
        <v>2</v>
      </c>
      <c r="AV48" s="4">
        <v>3</v>
      </c>
      <c r="AW48" s="4">
        <v>2</v>
      </c>
      <c r="AX48" s="8">
        <f t="shared" si="2"/>
        <v>2.4444444444444446</v>
      </c>
      <c r="AY48" s="8">
        <f t="shared" si="3"/>
        <v>3.2222222222222228</v>
      </c>
    </row>
    <row r="49" spans="1:51" ht="34.5">
      <c r="A49" s="17"/>
      <c r="B49" s="17"/>
      <c r="C49" s="23"/>
      <c r="D49" s="4" t="s">
        <v>79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U49" s="4">
        <v>4</v>
      </c>
      <c r="V49" s="3">
        <v>4</v>
      </c>
      <c r="W49" s="3">
        <v>5</v>
      </c>
      <c r="X49" s="3">
        <v>3</v>
      </c>
      <c r="Y49" s="3">
        <v>4</v>
      </c>
      <c r="Z49" s="3">
        <v>3</v>
      </c>
      <c r="AA49" s="3">
        <v>3</v>
      </c>
      <c r="AB49" s="3">
        <v>3</v>
      </c>
      <c r="AC49" s="3">
        <v>4</v>
      </c>
      <c r="AD49" s="8">
        <f t="shared" si="0"/>
        <v>3.6666666666666665</v>
      </c>
      <c r="AE49" s="4">
        <v>4</v>
      </c>
      <c r="AF49" s="4">
        <v>3</v>
      </c>
      <c r="AG49" s="4">
        <v>3</v>
      </c>
      <c r="AH49" s="4">
        <v>2</v>
      </c>
      <c r="AI49" s="4">
        <v>3</v>
      </c>
      <c r="AJ49" s="4">
        <v>2</v>
      </c>
      <c r="AK49" s="4">
        <v>2</v>
      </c>
      <c r="AL49" s="4">
        <v>3</v>
      </c>
      <c r="AM49" s="4">
        <v>3</v>
      </c>
      <c r="AN49" s="8">
        <f t="shared" si="1"/>
        <v>2.7777777777777777</v>
      </c>
      <c r="AO49" s="4">
        <v>3</v>
      </c>
      <c r="AP49" s="4">
        <v>2</v>
      </c>
      <c r="AQ49" s="4">
        <v>1</v>
      </c>
      <c r="AR49" s="4">
        <v>5</v>
      </c>
      <c r="AS49" s="4">
        <v>3</v>
      </c>
      <c r="AT49" s="4">
        <v>3</v>
      </c>
      <c r="AU49" s="4">
        <v>2</v>
      </c>
      <c r="AV49" s="4">
        <v>3</v>
      </c>
      <c r="AW49" s="4">
        <v>2</v>
      </c>
      <c r="AX49" s="8">
        <f t="shared" si="2"/>
        <v>2.6666666666666665</v>
      </c>
      <c r="AY49" s="8">
        <f t="shared" si="3"/>
        <v>3.0370370370370368</v>
      </c>
    </row>
    <row r="50" spans="1:51">
      <c r="A50" s="17"/>
      <c r="B50" s="17"/>
      <c r="C50" s="23"/>
      <c r="D50" s="4" t="s">
        <v>80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U50" s="4">
        <v>4</v>
      </c>
      <c r="V50" s="3">
        <v>3</v>
      </c>
      <c r="W50" s="3">
        <v>5</v>
      </c>
      <c r="X50" s="3">
        <v>4</v>
      </c>
      <c r="Y50" s="3">
        <v>5</v>
      </c>
      <c r="Z50" s="3">
        <v>2</v>
      </c>
      <c r="AA50" s="3">
        <v>4</v>
      </c>
      <c r="AB50" s="3">
        <v>3</v>
      </c>
      <c r="AC50" s="3">
        <v>3</v>
      </c>
      <c r="AD50" s="8">
        <f t="shared" si="0"/>
        <v>3.6666666666666665</v>
      </c>
      <c r="AE50" s="4">
        <v>4</v>
      </c>
      <c r="AF50" s="4">
        <v>3</v>
      </c>
      <c r="AG50" s="4">
        <v>4</v>
      </c>
      <c r="AH50" s="4">
        <v>3</v>
      </c>
      <c r="AI50" s="4">
        <v>3</v>
      </c>
      <c r="AJ50" s="4">
        <v>3</v>
      </c>
      <c r="AK50" s="4">
        <v>3</v>
      </c>
      <c r="AL50" s="4">
        <v>3</v>
      </c>
      <c r="AM50" s="4">
        <v>2</v>
      </c>
      <c r="AN50" s="8">
        <f t="shared" si="1"/>
        <v>3.1111111111111112</v>
      </c>
      <c r="AO50" s="4">
        <v>3</v>
      </c>
      <c r="AP50" s="4">
        <v>2</v>
      </c>
      <c r="AQ50" s="4">
        <v>1</v>
      </c>
      <c r="AR50" s="4">
        <v>5</v>
      </c>
      <c r="AS50" s="4">
        <v>3</v>
      </c>
      <c r="AT50" s="4">
        <v>2</v>
      </c>
      <c r="AU50" s="4">
        <v>2</v>
      </c>
      <c r="AV50" s="4">
        <v>3</v>
      </c>
      <c r="AW50" s="4">
        <v>2</v>
      </c>
      <c r="AX50" s="8">
        <f t="shared" si="2"/>
        <v>2.5555555555555554</v>
      </c>
      <c r="AY50" s="8">
        <f t="shared" si="3"/>
        <v>3.1111111111111107</v>
      </c>
    </row>
    <row r="51" spans="1:51">
      <c r="A51" s="17"/>
      <c r="B51" s="17"/>
      <c r="C51" s="24"/>
      <c r="D51" s="4" t="s">
        <v>81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U51" s="4">
        <v>4</v>
      </c>
      <c r="V51" s="3">
        <v>3</v>
      </c>
      <c r="W51" s="3">
        <v>4</v>
      </c>
      <c r="X51" s="3">
        <v>4</v>
      </c>
      <c r="Y51" s="3">
        <v>5</v>
      </c>
      <c r="Z51" s="3">
        <v>3</v>
      </c>
      <c r="AA51" s="3">
        <v>3</v>
      </c>
      <c r="AB51" s="3">
        <v>3</v>
      </c>
      <c r="AC51" s="3">
        <v>3</v>
      </c>
      <c r="AD51" s="8">
        <f t="shared" si="0"/>
        <v>3.5555555555555554</v>
      </c>
      <c r="AE51" s="4">
        <v>4</v>
      </c>
      <c r="AF51" s="4">
        <v>3</v>
      </c>
      <c r="AG51" s="4">
        <v>3</v>
      </c>
      <c r="AH51" s="4">
        <v>3</v>
      </c>
      <c r="AI51" s="4">
        <v>3</v>
      </c>
      <c r="AJ51" s="4">
        <v>3</v>
      </c>
      <c r="AK51" s="4">
        <v>2</v>
      </c>
      <c r="AL51" s="4">
        <v>3</v>
      </c>
      <c r="AM51" s="4">
        <v>2</v>
      </c>
      <c r="AN51" s="8">
        <f t="shared" si="1"/>
        <v>2.8888888888888888</v>
      </c>
      <c r="AO51" s="4">
        <v>2</v>
      </c>
      <c r="AP51" s="4">
        <v>2</v>
      </c>
      <c r="AQ51" s="4">
        <v>1</v>
      </c>
      <c r="AR51" s="4">
        <v>4</v>
      </c>
      <c r="AS51" s="4">
        <v>3</v>
      </c>
      <c r="AT51" s="4">
        <v>2</v>
      </c>
      <c r="AU51" s="4">
        <v>1</v>
      </c>
      <c r="AV51" s="4">
        <v>3</v>
      </c>
      <c r="AW51" s="4">
        <v>2</v>
      </c>
      <c r="AX51" s="8">
        <f t="shared" si="2"/>
        <v>2.2222222222222223</v>
      </c>
      <c r="AY51" s="8">
        <f t="shared" si="3"/>
        <v>2.8888888888888893</v>
      </c>
    </row>
    <row r="52" spans="1:51" ht="34.5">
      <c r="A52" s="17"/>
      <c r="B52" s="17"/>
      <c r="C52" s="22" t="s">
        <v>23</v>
      </c>
      <c r="D52" s="4" t="s">
        <v>82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U52" s="4">
        <v>3</v>
      </c>
      <c r="V52" s="3">
        <v>5</v>
      </c>
      <c r="W52" s="3">
        <v>4</v>
      </c>
      <c r="X52" s="3">
        <v>5</v>
      </c>
      <c r="Y52" s="3">
        <v>5</v>
      </c>
      <c r="Z52" s="3">
        <v>3</v>
      </c>
      <c r="AA52" s="3">
        <v>3</v>
      </c>
      <c r="AB52" s="3">
        <v>3</v>
      </c>
      <c r="AC52" s="3">
        <v>4</v>
      </c>
      <c r="AD52" s="8">
        <f t="shared" si="0"/>
        <v>3.8888888888888888</v>
      </c>
      <c r="AE52" s="4">
        <v>3</v>
      </c>
      <c r="AF52" s="4">
        <v>5</v>
      </c>
      <c r="AG52" s="4">
        <v>4</v>
      </c>
      <c r="AH52" s="4">
        <v>3</v>
      </c>
      <c r="AI52" s="4">
        <v>5</v>
      </c>
      <c r="AJ52" s="4">
        <v>3</v>
      </c>
      <c r="AK52" s="4">
        <v>4</v>
      </c>
      <c r="AL52" s="4">
        <v>3</v>
      </c>
      <c r="AM52" s="4">
        <v>3</v>
      </c>
      <c r="AN52" s="8">
        <f t="shared" si="1"/>
        <v>3.6666666666666665</v>
      </c>
      <c r="AO52" s="4">
        <v>5</v>
      </c>
      <c r="AP52" s="4">
        <v>1</v>
      </c>
      <c r="AQ52" s="4">
        <v>1</v>
      </c>
      <c r="AR52" s="4">
        <v>5</v>
      </c>
      <c r="AS52" s="4">
        <v>4</v>
      </c>
      <c r="AT52" s="4">
        <v>3</v>
      </c>
      <c r="AU52" s="4">
        <v>2</v>
      </c>
      <c r="AV52" s="4">
        <v>3</v>
      </c>
      <c r="AW52" s="4">
        <v>2</v>
      </c>
      <c r="AX52" s="8">
        <f t="shared" si="2"/>
        <v>2.8888888888888888</v>
      </c>
      <c r="AY52" s="8">
        <f t="shared" si="3"/>
        <v>3.4814814814814814</v>
      </c>
    </row>
    <row r="53" spans="1:51" ht="34.5">
      <c r="A53" s="17"/>
      <c r="B53" s="17"/>
      <c r="C53" s="23"/>
      <c r="D53" s="4" t="s">
        <v>83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U53" s="4">
        <v>5</v>
      </c>
      <c r="V53" s="3">
        <v>5</v>
      </c>
      <c r="W53" s="3">
        <v>5</v>
      </c>
      <c r="X53" s="3">
        <v>3</v>
      </c>
      <c r="Y53" s="3">
        <v>5</v>
      </c>
      <c r="Z53" s="3">
        <v>5</v>
      </c>
      <c r="AA53" s="3">
        <v>4</v>
      </c>
      <c r="AB53" s="3">
        <v>4</v>
      </c>
      <c r="AC53" s="3">
        <v>3</v>
      </c>
      <c r="AD53" s="8">
        <f t="shared" si="0"/>
        <v>4.333333333333333</v>
      </c>
      <c r="AE53" s="4">
        <v>4</v>
      </c>
      <c r="AF53" s="4">
        <v>2</v>
      </c>
      <c r="AG53" s="4">
        <v>3</v>
      </c>
      <c r="AH53" s="4">
        <v>3</v>
      </c>
      <c r="AI53" s="4">
        <v>5</v>
      </c>
      <c r="AJ53" s="4">
        <v>4</v>
      </c>
      <c r="AK53" s="4">
        <v>3</v>
      </c>
      <c r="AL53" s="4">
        <v>4</v>
      </c>
      <c r="AM53" s="4">
        <v>2</v>
      </c>
      <c r="AN53" s="8">
        <f t="shared" si="1"/>
        <v>3.3333333333333335</v>
      </c>
      <c r="AO53" s="4">
        <v>5</v>
      </c>
      <c r="AP53" s="4">
        <v>5</v>
      </c>
      <c r="AQ53" s="4">
        <v>4</v>
      </c>
      <c r="AR53" s="4">
        <v>5</v>
      </c>
      <c r="AS53" s="4">
        <v>4</v>
      </c>
      <c r="AT53" s="4">
        <v>5</v>
      </c>
      <c r="AU53" s="4">
        <v>3</v>
      </c>
      <c r="AV53" s="4">
        <v>3</v>
      </c>
      <c r="AW53" s="4">
        <v>2</v>
      </c>
      <c r="AX53" s="8">
        <f t="shared" si="2"/>
        <v>4</v>
      </c>
      <c r="AY53" s="8">
        <f t="shared" si="3"/>
        <v>3.8888888888888888</v>
      </c>
    </row>
    <row r="54" spans="1:51" ht="34.5">
      <c r="A54" s="17"/>
      <c r="B54" s="17"/>
      <c r="C54" s="24"/>
      <c r="D54" s="4" t="s">
        <v>84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U54" s="4">
        <v>3</v>
      </c>
      <c r="V54" s="3">
        <v>5</v>
      </c>
      <c r="W54" s="3">
        <v>5</v>
      </c>
      <c r="X54" s="3">
        <v>4</v>
      </c>
      <c r="Y54" s="3">
        <v>5</v>
      </c>
      <c r="Z54" s="3">
        <v>4</v>
      </c>
      <c r="AA54" s="3">
        <v>4</v>
      </c>
      <c r="AB54" s="3">
        <v>3</v>
      </c>
      <c r="AC54" s="3">
        <v>3</v>
      </c>
      <c r="AD54" s="8">
        <f t="shared" si="0"/>
        <v>4</v>
      </c>
      <c r="AE54" s="4">
        <v>3</v>
      </c>
      <c r="AF54" s="4">
        <v>2</v>
      </c>
      <c r="AG54" s="4">
        <v>2</v>
      </c>
      <c r="AH54" s="4">
        <v>4</v>
      </c>
      <c r="AI54" s="4">
        <v>5</v>
      </c>
      <c r="AJ54" s="4">
        <v>3</v>
      </c>
      <c r="AK54" s="4">
        <v>2</v>
      </c>
      <c r="AL54" s="4">
        <v>3</v>
      </c>
      <c r="AM54" s="4">
        <v>2</v>
      </c>
      <c r="AN54" s="8">
        <f t="shared" si="1"/>
        <v>2.8888888888888888</v>
      </c>
      <c r="AO54" s="4">
        <v>3</v>
      </c>
      <c r="AP54" s="4">
        <v>1</v>
      </c>
      <c r="AQ54" s="4">
        <v>1</v>
      </c>
      <c r="AR54" s="4">
        <v>2</v>
      </c>
      <c r="AS54" s="4">
        <v>4</v>
      </c>
      <c r="AT54" s="4">
        <v>1</v>
      </c>
      <c r="AU54" s="4">
        <v>1</v>
      </c>
      <c r="AV54" s="4">
        <v>3</v>
      </c>
      <c r="AW54" s="4">
        <v>2</v>
      </c>
      <c r="AX54" s="8">
        <f t="shared" si="2"/>
        <v>2</v>
      </c>
      <c r="AY54" s="8">
        <f t="shared" si="3"/>
        <v>2.9629629629629632</v>
      </c>
    </row>
    <row r="55" spans="1:51">
      <c r="A55" s="17"/>
      <c r="B55" s="17"/>
      <c r="C55" s="22" t="s">
        <v>24</v>
      </c>
      <c r="D55" s="4" t="s">
        <v>85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U55" s="4">
        <v>5</v>
      </c>
      <c r="V55" s="3">
        <v>5</v>
      </c>
      <c r="W55" s="3">
        <v>5</v>
      </c>
      <c r="X55" s="3">
        <v>4</v>
      </c>
      <c r="Y55" s="3">
        <v>3</v>
      </c>
      <c r="Z55" s="3">
        <v>5</v>
      </c>
      <c r="AA55" s="3">
        <v>4</v>
      </c>
      <c r="AB55" s="3">
        <v>4</v>
      </c>
      <c r="AC55" s="3">
        <v>4</v>
      </c>
      <c r="AD55" s="8">
        <f t="shared" si="0"/>
        <v>4.333333333333333</v>
      </c>
      <c r="AE55" s="4">
        <v>4</v>
      </c>
      <c r="AF55" s="4">
        <v>5</v>
      </c>
      <c r="AG55" s="4">
        <v>4</v>
      </c>
      <c r="AH55" s="4">
        <v>4</v>
      </c>
      <c r="AI55" s="4">
        <v>3</v>
      </c>
      <c r="AJ55" s="4">
        <v>4</v>
      </c>
      <c r="AK55" s="4">
        <v>4</v>
      </c>
      <c r="AL55" s="4">
        <v>3</v>
      </c>
      <c r="AM55" s="4">
        <v>3</v>
      </c>
      <c r="AN55" s="8">
        <f t="shared" si="1"/>
        <v>3.7777777777777777</v>
      </c>
      <c r="AO55" s="4">
        <v>4</v>
      </c>
      <c r="AP55" s="4">
        <v>3</v>
      </c>
      <c r="AQ55" s="4">
        <v>1</v>
      </c>
      <c r="AR55" s="4">
        <v>5</v>
      </c>
      <c r="AS55" s="4">
        <v>5</v>
      </c>
      <c r="AT55" s="4">
        <v>2</v>
      </c>
      <c r="AU55" s="4">
        <v>1</v>
      </c>
      <c r="AV55" s="4">
        <v>3</v>
      </c>
      <c r="AW55" s="4">
        <v>2</v>
      </c>
      <c r="AX55" s="8">
        <f t="shared" si="2"/>
        <v>2.8888888888888888</v>
      </c>
      <c r="AY55" s="8">
        <f t="shared" si="3"/>
        <v>3.6666666666666665</v>
      </c>
    </row>
    <row r="56" spans="1:51" ht="34.5">
      <c r="A56" s="17"/>
      <c r="B56" s="17"/>
      <c r="C56" s="23"/>
      <c r="D56" s="4" t="s">
        <v>86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U56" s="4">
        <v>5</v>
      </c>
      <c r="V56" s="3">
        <v>5</v>
      </c>
      <c r="W56" s="3">
        <v>5</v>
      </c>
      <c r="X56" s="3">
        <v>3</v>
      </c>
      <c r="Y56" s="3">
        <v>3</v>
      </c>
      <c r="Z56" s="3">
        <v>5</v>
      </c>
      <c r="AA56" s="3">
        <v>4</v>
      </c>
      <c r="AB56" s="3">
        <v>3</v>
      </c>
      <c r="AC56" s="3">
        <v>4</v>
      </c>
      <c r="AD56" s="8">
        <f t="shared" si="0"/>
        <v>4.1111111111111107</v>
      </c>
      <c r="AE56" s="4">
        <v>3</v>
      </c>
      <c r="AF56" s="4">
        <v>5</v>
      </c>
      <c r="AG56" s="4">
        <v>5</v>
      </c>
      <c r="AH56" s="4">
        <v>4</v>
      </c>
      <c r="AI56" s="4">
        <v>3</v>
      </c>
      <c r="AJ56" s="4">
        <v>4</v>
      </c>
      <c r="AK56" s="4">
        <v>4</v>
      </c>
      <c r="AL56" s="4">
        <v>3</v>
      </c>
      <c r="AM56" s="4">
        <v>3</v>
      </c>
      <c r="AN56" s="8">
        <f t="shared" si="1"/>
        <v>3.7777777777777777</v>
      </c>
      <c r="AO56" s="4">
        <v>5</v>
      </c>
      <c r="AP56" s="4">
        <v>5</v>
      </c>
      <c r="AQ56" s="4">
        <v>1</v>
      </c>
      <c r="AR56" s="4">
        <v>4</v>
      </c>
      <c r="AS56" s="4">
        <v>5</v>
      </c>
      <c r="AT56" s="4">
        <v>5</v>
      </c>
      <c r="AU56" s="4">
        <v>2</v>
      </c>
      <c r="AV56" s="4">
        <v>3</v>
      </c>
      <c r="AW56" s="4">
        <v>2</v>
      </c>
      <c r="AX56" s="8">
        <f t="shared" si="2"/>
        <v>3.5555555555555554</v>
      </c>
      <c r="AY56" s="8">
        <f t="shared" si="3"/>
        <v>3.8148148148148144</v>
      </c>
    </row>
    <row r="57" spans="1:51">
      <c r="A57" s="17"/>
      <c r="B57" s="17"/>
      <c r="C57" s="23"/>
      <c r="D57" s="4" t="s">
        <v>87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U57" s="4">
        <v>5</v>
      </c>
      <c r="V57" s="3">
        <v>5</v>
      </c>
      <c r="W57" s="3">
        <v>5</v>
      </c>
      <c r="X57" s="3">
        <v>4</v>
      </c>
      <c r="Y57" s="3">
        <v>3</v>
      </c>
      <c r="Z57" s="3">
        <v>4</v>
      </c>
      <c r="AA57" s="3">
        <v>4</v>
      </c>
      <c r="AB57" s="3">
        <v>3</v>
      </c>
      <c r="AC57" s="3">
        <v>3</v>
      </c>
      <c r="AD57" s="8">
        <f t="shared" si="0"/>
        <v>4</v>
      </c>
      <c r="AE57" s="4">
        <v>3</v>
      </c>
      <c r="AF57" s="4">
        <v>4</v>
      </c>
      <c r="AG57" s="4">
        <v>4</v>
      </c>
      <c r="AH57" s="4">
        <v>5</v>
      </c>
      <c r="AI57" s="4">
        <v>3</v>
      </c>
      <c r="AJ57" s="4">
        <v>3</v>
      </c>
      <c r="AK57" s="4">
        <v>3</v>
      </c>
      <c r="AL57" s="4">
        <v>3</v>
      </c>
      <c r="AM57" s="4">
        <v>3</v>
      </c>
      <c r="AN57" s="8">
        <f t="shared" si="1"/>
        <v>3.4444444444444446</v>
      </c>
      <c r="AO57" s="4">
        <v>5</v>
      </c>
      <c r="AP57" s="4">
        <v>5</v>
      </c>
      <c r="AQ57" s="4">
        <v>1</v>
      </c>
      <c r="AR57" s="4">
        <v>5</v>
      </c>
      <c r="AS57" s="4">
        <v>4</v>
      </c>
      <c r="AT57" s="4">
        <v>5</v>
      </c>
      <c r="AU57" s="4">
        <v>3</v>
      </c>
      <c r="AV57" s="4">
        <v>3</v>
      </c>
      <c r="AW57" s="4">
        <v>2</v>
      </c>
      <c r="AX57" s="8">
        <f t="shared" si="2"/>
        <v>3.6666666666666665</v>
      </c>
      <c r="AY57" s="8">
        <f t="shared" si="3"/>
        <v>3.7037037037037037</v>
      </c>
    </row>
    <row r="58" spans="1:51">
      <c r="A58" s="17"/>
      <c r="B58" s="17"/>
      <c r="C58" s="22" t="s">
        <v>25</v>
      </c>
      <c r="D58" s="4" t="s">
        <v>88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U58" s="4">
        <v>5</v>
      </c>
      <c r="V58" s="3">
        <v>5</v>
      </c>
      <c r="W58" s="3">
        <v>5</v>
      </c>
      <c r="X58" s="3">
        <v>4</v>
      </c>
      <c r="Y58" s="3">
        <v>3</v>
      </c>
      <c r="Z58" s="3">
        <v>5</v>
      </c>
      <c r="AA58" s="3">
        <v>4</v>
      </c>
      <c r="AB58" s="3">
        <v>3</v>
      </c>
      <c r="AC58" s="3">
        <v>3</v>
      </c>
      <c r="AD58" s="8">
        <f t="shared" si="0"/>
        <v>4.1111111111111107</v>
      </c>
      <c r="AE58" s="4">
        <v>4</v>
      </c>
      <c r="AF58" s="4">
        <v>3</v>
      </c>
      <c r="AG58" s="4">
        <v>3</v>
      </c>
      <c r="AH58" s="4">
        <v>4</v>
      </c>
      <c r="AI58" s="4">
        <v>2</v>
      </c>
      <c r="AJ58" s="4">
        <v>4</v>
      </c>
      <c r="AK58" s="4">
        <v>3</v>
      </c>
      <c r="AL58" s="4">
        <v>3</v>
      </c>
      <c r="AM58" s="4">
        <v>2</v>
      </c>
      <c r="AN58" s="8">
        <f t="shared" si="1"/>
        <v>3.1111111111111112</v>
      </c>
      <c r="AO58" s="4">
        <v>4</v>
      </c>
      <c r="AP58" s="4">
        <v>1</v>
      </c>
      <c r="AQ58" s="4">
        <v>1</v>
      </c>
      <c r="AR58" s="4">
        <v>3</v>
      </c>
      <c r="AS58" s="4">
        <v>3</v>
      </c>
      <c r="AT58" s="4">
        <v>1</v>
      </c>
      <c r="AU58" s="4">
        <v>3</v>
      </c>
      <c r="AV58" s="4">
        <v>3</v>
      </c>
      <c r="AW58" s="4">
        <v>2</v>
      </c>
      <c r="AX58" s="8">
        <f t="shared" si="2"/>
        <v>2.3333333333333335</v>
      </c>
      <c r="AY58" s="8">
        <f t="shared" si="3"/>
        <v>3.1851851851851851</v>
      </c>
    </row>
    <row r="59" spans="1:51" ht="34.5">
      <c r="A59" s="17"/>
      <c r="B59" s="17"/>
      <c r="C59" s="23"/>
      <c r="D59" s="4" t="s">
        <v>89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U59" s="4">
        <v>4</v>
      </c>
      <c r="V59" s="3">
        <v>5</v>
      </c>
      <c r="W59" s="3">
        <v>5</v>
      </c>
      <c r="X59" s="3">
        <v>3</v>
      </c>
      <c r="Y59" s="3">
        <v>3</v>
      </c>
      <c r="Z59" s="3">
        <v>4</v>
      </c>
      <c r="AA59" s="3">
        <v>3</v>
      </c>
      <c r="AB59" s="3">
        <v>3</v>
      </c>
      <c r="AC59" s="3">
        <v>3</v>
      </c>
      <c r="AD59" s="8">
        <f t="shared" si="0"/>
        <v>3.6666666666666665</v>
      </c>
      <c r="AE59" s="4">
        <v>4</v>
      </c>
      <c r="AF59" s="4">
        <v>3</v>
      </c>
      <c r="AG59" s="4">
        <v>3</v>
      </c>
      <c r="AH59" s="4">
        <v>2</v>
      </c>
      <c r="AI59" s="4">
        <v>2</v>
      </c>
      <c r="AJ59" s="4">
        <v>4</v>
      </c>
      <c r="AK59" s="4">
        <v>4</v>
      </c>
      <c r="AL59" s="4">
        <v>3</v>
      </c>
      <c r="AM59" s="4">
        <v>2</v>
      </c>
      <c r="AN59" s="8">
        <f t="shared" si="1"/>
        <v>3</v>
      </c>
      <c r="AO59" s="4">
        <v>4</v>
      </c>
      <c r="AP59" s="4">
        <v>1</v>
      </c>
      <c r="AQ59" s="4">
        <v>1</v>
      </c>
      <c r="AR59" s="4">
        <v>3</v>
      </c>
      <c r="AS59" s="4">
        <v>3</v>
      </c>
      <c r="AT59" s="4">
        <v>2</v>
      </c>
      <c r="AU59" s="4">
        <v>1</v>
      </c>
      <c r="AV59" s="4">
        <v>3</v>
      </c>
      <c r="AW59" s="4">
        <v>2</v>
      </c>
      <c r="AX59" s="8">
        <f t="shared" si="2"/>
        <v>2.2222222222222223</v>
      </c>
      <c r="AY59" s="8">
        <f t="shared" si="3"/>
        <v>2.9629629629629632</v>
      </c>
    </row>
    <row r="60" spans="1:51">
      <c r="A60" s="18"/>
      <c r="B60" s="18"/>
      <c r="C60" s="24"/>
      <c r="D60" s="4" t="s">
        <v>90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U60" s="4">
        <v>4</v>
      </c>
      <c r="V60" s="3">
        <v>5</v>
      </c>
      <c r="W60" s="3">
        <v>5</v>
      </c>
      <c r="X60" s="3">
        <v>5</v>
      </c>
      <c r="Y60" s="3">
        <v>5</v>
      </c>
      <c r="Z60" s="3">
        <v>4</v>
      </c>
      <c r="AA60" s="3">
        <v>4</v>
      </c>
      <c r="AB60" s="3">
        <v>3</v>
      </c>
      <c r="AC60" s="3">
        <v>3</v>
      </c>
      <c r="AD60" s="8">
        <f t="shared" si="0"/>
        <v>4.2222222222222223</v>
      </c>
      <c r="AE60" s="4">
        <v>4</v>
      </c>
      <c r="AF60" s="4">
        <v>4</v>
      </c>
      <c r="AG60" s="4">
        <v>4</v>
      </c>
      <c r="AH60" s="4">
        <v>5</v>
      </c>
      <c r="AI60" s="4">
        <v>4</v>
      </c>
      <c r="AJ60" s="4">
        <v>3</v>
      </c>
      <c r="AK60" s="4">
        <v>3</v>
      </c>
      <c r="AL60" s="4">
        <v>3</v>
      </c>
      <c r="AM60" s="4">
        <v>2</v>
      </c>
      <c r="AN60" s="8">
        <f t="shared" si="1"/>
        <v>3.5555555555555554</v>
      </c>
      <c r="AO60" s="4">
        <v>4</v>
      </c>
      <c r="AP60" s="4">
        <v>1</v>
      </c>
      <c r="AQ60" s="4">
        <v>1</v>
      </c>
      <c r="AR60" s="4">
        <v>2</v>
      </c>
      <c r="AS60" s="4">
        <v>3</v>
      </c>
      <c r="AT60" s="4">
        <v>2</v>
      </c>
      <c r="AU60" s="4">
        <v>1</v>
      </c>
      <c r="AV60" s="4">
        <v>3</v>
      </c>
      <c r="AW60" s="4">
        <v>2</v>
      </c>
      <c r="AX60" s="8">
        <f t="shared" si="2"/>
        <v>2.1111111111111112</v>
      </c>
      <c r="AY60" s="8">
        <f t="shared" si="3"/>
        <v>3.2962962962962963</v>
      </c>
    </row>
    <row r="61" spans="1:51">
      <c r="AX61" s="7"/>
    </row>
  </sheetData>
  <mergeCells count="33">
    <mergeCell ref="B1:B2"/>
    <mergeCell ref="C1:C2"/>
    <mergeCell ref="D1:D2"/>
    <mergeCell ref="E1:I1"/>
    <mergeCell ref="J1:N1"/>
    <mergeCell ref="A3:A15"/>
    <mergeCell ref="B3:B15"/>
    <mergeCell ref="C3:C5"/>
    <mergeCell ref="C6:C8"/>
    <mergeCell ref="C9:C11"/>
    <mergeCell ref="C12:C15"/>
    <mergeCell ref="A16:A27"/>
    <mergeCell ref="B16:B27"/>
    <mergeCell ref="C16:C18"/>
    <mergeCell ref="C19:C21"/>
    <mergeCell ref="C22:C24"/>
    <mergeCell ref="C25:C27"/>
    <mergeCell ref="A28:A60"/>
    <mergeCell ref="B28:B60"/>
    <mergeCell ref="C28:C31"/>
    <mergeCell ref="C32:C35"/>
    <mergeCell ref="C36:C37"/>
    <mergeCell ref="C38:C42"/>
    <mergeCell ref="C43:C47"/>
    <mergeCell ref="C48:C51"/>
    <mergeCell ref="C52:C54"/>
    <mergeCell ref="C55:C57"/>
    <mergeCell ref="C58:C60"/>
    <mergeCell ref="AD1:AD2"/>
    <mergeCell ref="AN1:AN2"/>
    <mergeCell ref="AX1:AX2"/>
    <mergeCell ref="AY1:AY2"/>
    <mergeCell ref="O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workbookViewId="0">
      <selection activeCell="B3" sqref="B3"/>
    </sheetView>
  </sheetViews>
  <sheetFormatPr defaultColWidth="11.109375" defaultRowHeight="17.25"/>
  <cols>
    <col min="1" max="1" width="11" customWidth="1"/>
    <col min="2" max="2" width="52" style="3" customWidth="1"/>
    <col min="3" max="3" width="2.21875" hidden="1" customWidth="1"/>
    <col min="4" max="11" width="3" hidden="1" customWidth="1"/>
    <col min="12" max="12" width="3.21875" hidden="1" customWidth="1"/>
    <col min="13" max="13" width="5.21875" bestFit="1" customWidth="1"/>
    <col min="14" max="22" width="3.21875" hidden="1" customWidth="1"/>
    <col min="23" max="23" width="5.33203125" customWidth="1"/>
    <col min="24" max="32" width="3.21875" hidden="1" customWidth="1"/>
    <col min="33" max="33" width="6" customWidth="1"/>
    <col min="34" max="34" width="5.21875" bestFit="1" customWidth="1"/>
  </cols>
  <sheetData>
    <row r="1" spans="1:34">
      <c r="A1" s="12" t="s">
        <v>93</v>
      </c>
      <c r="B1" s="6" t="s">
        <v>94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 t="s">
        <v>27</v>
      </c>
      <c r="N1" s="9">
        <v>1</v>
      </c>
      <c r="O1" s="9">
        <v>2</v>
      </c>
      <c r="P1" s="9">
        <v>3</v>
      </c>
      <c r="Q1" s="9">
        <v>4</v>
      </c>
      <c r="R1" s="9">
        <v>5</v>
      </c>
      <c r="S1" s="9">
        <v>6</v>
      </c>
      <c r="T1" s="9">
        <v>7</v>
      </c>
      <c r="U1" s="9">
        <v>8</v>
      </c>
      <c r="V1" s="9">
        <v>9</v>
      </c>
      <c r="W1" s="9" t="s">
        <v>28</v>
      </c>
      <c r="X1" s="9">
        <v>1</v>
      </c>
      <c r="Y1" s="9">
        <v>2</v>
      </c>
      <c r="Z1" s="9">
        <v>3</v>
      </c>
      <c r="AA1" s="9">
        <v>4</v>
      </c>
      <c r="AB1" s="9">
        <v>5</v>
      </c>
      <c r="AC1" s="9">
        <v>6</v>
      </c>
      <c r="AD1" s="9">
        <v>7</v>
      </c>
      <c r="AE1" s="9">
        <v>8</v>
      </c>
      <c r="AF1" s="9">
        <v>9</v>
      </c>
      <c r="AG1" s="9" t="s">
        <v>91</v>
      </c>
      <c r="AH1" s="9" t="s">
        <v>92</v>
      </c>
    </row>
    <row r="2" spans="1:34" ht="51.75">
      <c r="A2" s="9" t="s">
        <v>95</v>
      </c>
      <c r="B2" s="4" t="s">
        <v>96</v>
      </c>
      <c r="D2" s="9">
        <v>3</v>
      </c>
      <c r="E2" s="9">
        <v>5</v>
      </c>
      <c r="F2" s="9">
        <v>5</v>
      </c>
      <c r="G2" s="9">
        <v>5</v>
      </c>
      <c r="H2" s="9">
        <v>4</v>
      </c>
      <c r="I2" s="9">
        <v>5</v>
      </c>
      <c r="J2" s="9">
        <v>4</v>
      </c>
      <c r="K2" s="9">
        <v>5</v>
      </c>
      <c r="L2" s="9">
        <v>5</v>
      </c>
      <c r="M2" s="10">
        <f t="shared" ref="M2:M10" si="0">AVERAGE(D2:L2)</f>
        <v>4.5555555555555554</v>
      </c>
      <c r="N2" s="9">
        <v>4</v>
      </c>
      <c r="O2" s="9">
        <v>5</v>
      </c>
      <c r="P2" s="9">
        <v>3</v>
      </c>
      <c r="Q2" s="9">
        <v>5</v>
      </c>
      <c r="R2" s="9">
        <v>5</v>
      </c>
      <c r="S2" s="9">
        <v>5</v>
      </c>
      <c r="T2" s="9">
        <v>3</v>
      </c>
      <c r="U2" s="9">
        <v>4</v>
      </c>
      <c r="V2" s="9">
        <v>4</v>
      </c>
      <c r="W2" s="9">
        <f t="shared" ref="W2:W10" si="1">AVERAGE(N2:V2)</f>
        <v>4.2222222222222223</v>
      </c>
      <c r="X2" s="9">
        <v>5</v>
      </c>
      <c r="Y2" s="9">
        <v>5</v>
      </c>
      <c r="Z2" s="9">
        <v>4</v>
      </c>
      <c r="AA2" s="9">
        <v>3</v>
      </c>
      <c r="AB2" s="9">
        <v>5</v>
      </c>
      <c r="AC2" s="9">
        <v>5</v>
      </c>
      <c r="AD2" s="9">
        <v>4</v>
      </c>
      <c r="AE2" s="9">
        <v>4</v>
      </c>
      <c r="AF2" s="9">
        <v>3</v>
      </c>
      <c r="AG2" s="10">
        <f t="shared" ref="AG2:AG10" si="2">AVERAGE(X2:AF2)</f>
        <v>4.2222222222222223</v>
      </c>
      <c r="AH2" s="10">
        <f t="shared" ref="AH2:AH10" si="3">AVERAGE(M2,W2,AG2)</f>
        <v>4.333333333333333</v>
      </c>
    </row>
    <row r="3" spans="1:34" ht="34.5">
      <c r="A3" s="9" t="s">
        <v>97</v>
      </c>
      <c r="B3" s="4" t="s">
        <v>98</v>
      </c>
      <c r="D3" s="9">
        <v>5</v>
      </c>
      <c r="E3" s="9">
        <v>5</v>
      </c>
      <c r="F3" s="9">
        <v>5</v>
      </c>
      <c r="G3" s="9">
        <v>4</v>
      </c>
      <c r="H3" s="9">
        <v>5</v>
      </c>
      <c r="I3" s="9">
        <v>5</v>
      </c>
      <c r="J3" s="9">
        <v>4</v>
      </c>
      <c r="K3" s="9">
        <v>5</v>
      </c>
      <c r="L3" s="9">
        <v>4</v>
      </c>
      <c r="M3" s="10">
        <f t="shared" si="0"/>
        <v>4.666666666666667</v>
      </c>
      <c r="N3" s="9">
        <v>5</v>
      </c>
      <c r="O3" s="9">
        <v>4</v>
      </c>
      <c r="P3" s="9">
        <v>4</v>
      </c>
      <c r="Q3" s="9">
        <v>4</v>
      </c>
      <c r="R3" s="9">
        <v>4</v>
      </c>
      <c r="S3" s="9">
        <v>4</v>
      </c>
      <c r="T3" s="9">
        <v>2</v>
      </c>
      <c r="U3" s="9">
        <v>4</v>
      </c>
      <c r="V3" s="9">
        <v>3</v>
      </c>
      <c r="W3" s="9">
        <f t="shared" si="1"/>
        <v>3.7777777777777777</v>
      </c>
      <c r="X3" s="9">
        <v>5</v>
      </c>
      <c r="Y3" s="9">
        <v>5</v>
      </c>
      <c r="Z3" s="9">
        <v>4</v>
      </c>
      <c r="AA3" s="9">
        <v>4</v>
      </c>
      <c r="AB3" s="9">
        <v>5</v>
      </c>
      <c r="AC3" s="9">
        <v>5</v>
      </c>
      <c r="AD3" s="9">
        <v>4</v>
      </c>
      <c r="AE3" s="9">
        <v>4</v>
      </c>
      <c r="AF3" s="9">
        <v>3</v>
      </c>
      <c r="AG3" s="10">
        <f t="shared" si="2"/>
        <v>4.333333333333333</v>
      </c>
      <c r="AH3" s="10">
        <f t="shared" si="3"/>
        <v>4.2592592592592595</v>
      </c>
    </row>
    <row r="4" spans="1:34" ht="51.75">
      <c r="A4" s="9" t="s">
        <v>99</v>
      </c>
      <c r="B4" s="4" t="s">
        <v>100</v>
      </c>
      <c r="D4" s="6">
        <v>5</v>
      </c>
      <c r="E4" s="9">
        <v>5</v>
      </c>
      <c r="F4" s="9">
        <v>5</v>
      </c>
      <c r="G4" s="9">
        <v>5</v>
      </c>
      <c r="H4" s="9">
        <v>5</v>
      </c>
      <c r="I4" s="9">
        <v>4</v>
      </c>
      <c r="J4" s="9">
        <v>4</v>
      </c>
      <c r="K4" s="9">
        <v>5</v>
      </c>
      <c r="L4" s="9">
        <v>5</v>
      </c>
      <c r="M4" s="10">
        <f t="shared" si="0"/>
        <v>4.7777777777777777</v>
      </c>
      <c r="N4" s="9">
        <v>5</v>
      </c>
      <c r="O4" s="9">
        <v>5</v>
      </c>
      <c r="P4" s="9">
        <v>4</v>
      </c>
      <c r="Q4" s="9">
        <v>5</v>
      </c>
      <c r="R4" s="9">
        <v>5</v>
      </c>
      <c r="S4" s="9">
        <v>4</v>
      </c>
      <c r="T4" s="9">
        <v>4</v>
      </c>
      <c r="U4" s="9">
        <v>5</v>
      </c>
      <c r="V4" s="9">
        <v>4</v>
      </c>
      <c r="W4" s="9">
        <f t="shared" si="1"/>
        <v>4.5555555555555554</v>
      </c>
      <c r="X4" s="9">
        <v>3</v>
      </c>
      <c r="Y4" s="9">
        <v>5</v>
      </c>
      <c r="Z4" s="9">
        <v>1</v>
      </c>
      <c r="AA4" s="9">
        <v>5</v>
      </c>
      <c r="AB4" s="9">
        <v>2</v>
      </c>
      <c r="AC4" s="9">
        <v>2</v>
      </c>
      <c r="AD4" s="9">
        <v>3</v>
      </c>
      <c r="AE4" s="9">
        <v>4</v>
      </c>
      <c r="AF4" s="9">
        <v>2</v>
      </c>
      <c r="AG4" s="10">
        <f t="shared" si="2"/>
        <v>3</v>
      </c>
      <c r="AH4" s="10">
        <f t="shared" si="3"/>
        <v>4.1111111111111107</v>
      </c>
    </row>
    <row r="5" spans="1:34" ht="51.75">
      <c r="A5" s="9" t="s">
        <v>101</v>
      </c>
      <c r="B5" s="4" t="s">
        <v>102</v>
      </c>
      <c r="D5" s="9">
        <v>4</v>
      </c>
      <c r="E5" s="9">
        <v>5</v>
      </c>
      <c r="F5" s="9">
        <v>5</v>
      </c>
      <c r="G5" s="9">
        <v>5</v>
      </c>
      <c r="H5" s="9">
        <v>5</v>
      </c>
      <c r="I5" s="9">
        <v>3</v>
      </c>
      <c r="J5" s="9">
        <v>4</v>
      </c>
      <c r="K5" s="9">
        <v>4</v>
      </c>
      <c r="L5" s="9">
        <v>4</v>
      </c>
      <c r="M5" s="10">
        <f t="shared" si="0"/>
        <v>4.333333333333333</v>
      </c>
      <c r="N5" s="9">
        <v>4</v>
      </c>
      <c r="O5" s="9">
        <v>5</v>
      </c>
      <c r="P5" s="9">
        <v>4</v>
      </c>
      <c r="Q5" s="9">
        <v>5</v>
      </c>
      <c r="R5" s="9">
        <v>5</v>
      </c>
      <c r="S5" s="9">
        <v>4</v>
      </c>
      <c r="T5" s="9">
        <v>3</v>
      </c>
      <c r="U5" s="9">
        <v>4</v>
      </c>
      <c r="V5" s="9">
        <v>3</v>
      </c>
      <c r="W5" s="9">
        <f t="shared" si="1"/>
        <v>4.1111111111111107</v>
      </c>
      <c r="X5" s="9">
        <v>4</v>
      </c>
      <c r="Y5" s="9">
        <v>5</v>
      </c>
      <c r="Z5" s="9">
        <v>3</v>
      </c>
      <c r="AA5" s="9">
        <v>3</v>
      </c>
      <c r="AB5" s="9">
        <v>4</v>
      </c>
      <c r="AC5" s="9">
        <v>3</v>
      </c>
      <c r="AD5" s="9">
        <v>4</v>
      </c>
      <c r="AE5" s="9">
        <v>4</v>
      </c>
      <c r="AF5" s="9">
        <v>2</v>
      </c>
      <c r="AG5" s="10">
        <f t="shared" si="2"/>
        <v>3.5555555555555554</v>
      </c>
      <c r="AH5" s="10">
        <f t="shared" si="3"/>
        <v>3.9999999999999996</v>
      </c>
    </row>
    <row r="6" spans="1:34" ht="60">
      <c r="A6" s="9" t="s">
        <v>103</v>
      </c>
      <c r="B6" s="13" t="s">
        <v>104</v>
      </c>
      <c r="D6" s="9">
        <v>4</v>
      </c>
      <c r="E6" s="9">
        <v>5</v>
      </c>
      <c r="F6" s="9">
        <v>5</v>
      </c>
      <c r="G6" s="9">
        <v>5</v>
      </c>
      <c r="H6" s="9">
        <v>4</v>
      </c>
      <c r="I6" s="9">
        <v>4</v>
      </c>
      <c r="J6" s="9">
        <v>4</v>
      </c>
      <c r="K6" s="9">
        <v>4</v>
      </c>
      <c r="L6" s="9">
        <v>4</v>
      </c>
      <c r="M6" s="10">
        <f t="shared" si="0"/>
        <v>4.333333333333333</v>
      </c>
      <c r="N6" s="9">
        <v>5</v>
      </c>
      <c r="O6" s="9">
        <v>5</v>
      </c>
      <c r="P6" s="9">
        <v>4</v>
      </c>
      <c r="Q6" s="9">
        <v>4</v>
      </c>
      <c r="R6" s="9">
        <v>3</v>
      </c>
      <c r="S6" s="9">
        <v>5</v>
      </c>
      <c r="T6" s="9">
        <v>4</v>
      </c>
      <c r="U6" s="9">
        <v>4</v>
      </c>
      <c r="V6" s="9">
        <v>3</v>
      </c>
      <c r="W6" s="9">
        <f t="shared" si="1"/>
        <v>4.1111111111111107</v>
      </c>
      <c r="X6" s="9">
        <v>4</v>
      </c>
      <c r="Y6" s="9">
        <v>4</v>
      </c>
      <c r="Z6" s="9">
        <v>3</v>
      </c>
      <c r="AA6" s="9">
        <v>4</v>
      </c>
      <c r="AB6" s="9">
        <v>4</v>
      </c>
      <c r="AC6" s="9">
        <v>3</v>
      </c>
      <c r="AD6" s="9">
        <v>3</v>
      </c>
      <c r="AE6" s="9">
        <v>4</v>
      </c>
      <c r="AF6" s="9">
        <v>3</v>
      </c>
      <c r="AG6" s="10">
        <f t="shared" si="2"/>
        <v>3.5555555555555554</v>
      </c>
      <c r="AH6" s="10">
        <f t="shared" si="3"/>
        <v>3.9999999999999996</v>
      </c>
    </row>
    <row r="7" spans="1:34" ht="51.75">
      <c r="A7" s="9" t="s">
        <v>105</v>
      </c>
      <c r="B7" s="4" t="s">
        <v>106</v>
      </c>
      <c r="D7" s="9">
        <v>4</v>
      </c>
      <c r="E7" s="9">
        <v>5</v>
      </c>
      <c r="F7" s="9">
        <v>5</v>
      </c>
      <c r="G7" s="9">
        <v>4</v>
      </c>
      <c r="H7" s="9">
        <v>5</v>
      </c>
      <c r="I7" s="9">
        <v>4</v>
      </c>
      <c r="J7" s="9">
        <v>4</v>
      </c>
      <c r="K7" s="9">
        <v>5</v>
      </c>
      <c r="L7" s="9">
        <v>5</v>
      </c>
      <c r="M7" s="10">
        <f t="shared" si="0"/>
        <v>4.5555555555555554</v>
      </c>
      <c r="N7" s="9">
        <v>3</v>
      </c>
      <c r="O7" s="9">
        <v>5</v>
      </c>
      <c r="P7" s="9">
        <v>4</v>
      </c>
      <c r="Q7" s="9">
        <v>5</v>
      </c>
      <c r="R7" s="9">
        <v>4</v>
      </c>
      <c r="S7" s="9">
        <v>3</v>
      </c>
      <c r="T7" s="9">
        <v>2</v>
      </c>
      <c r="U7" s="9">
        <v>4</v>
      </c>
      <c r="V7" s="9">
        <v>4</v>
      </c>
      <c r="W7" s="9">
        <f t="shared" si="1"/>
        <v>3.7777777777777777</v>
      </c>
      <c r="X7" s="9">
        <v>4</v>
      </c>
      <c r="Y7" s="9">
        <v>4</v>
      </c>
      <c r="Z7" s="9">
        <v>1</v>
      </c>
      <c r="AA7" s="9">
        <v>4</v>
      </c>
      <c r="AB7" s="9">
        <v>5</v>
      </c>
      <c r="AC7" s="9">
        <v>3</v>
      </c>
      <c r="AD7" s="9">
        <v>4</v>
      </c>
      <c r="AE7" s="9">
        <v>4</v>
      </c>
      <c r="AF7" s="9">
        <v>3</v>
      </c>
      <c r="AG7" s="10">
        <f t="shared" si="2"/>
        <v>3.5555555555555554</v>
      </c>
      <c r="AH7" s="10">
        <f t="shared" si="3"/>
        <v>3.9629629629629624</v>
      </c>
    </row>
    <row r="8" spans="1:34" ht="34.5">
      <c r="A8" s="9" t="s">
        <v>107</v>
      </c>
      <c r="B8" s="4" t="s">
        <v>108</v>
      </c>
      <c r="D8" s="9">
        <v>3</v>
      </c>
      <c r="E8" s="9">
        <v>5</v>
      </c>
      <c r="F8" s="9">
        <v>5</v>
      </c>
      <c r="G8" s="9">
        <v>4</v>
      </c>
      <c r="H8" s="9">
        <v>5</v>
      </c>
      <c r="I8" s="9">
        <v>4</v>
      </c>
      <c r="J8" s="9">
        <v>4</v>
      </c>
      <c r="K8" s="9">
        <v>3</v>
      </c>
      <c r="L8" s="9">
        <v>4</v>
      </c>
      <c r="M8" s="10">
        <f t="shared" si="0"/>
        <v>4.1111111111111107</v>
      </c>
      <c r="N8" s="9">
        <v>4</v>
      </c>
      <c r="O8" s="9">
        <v>4</v>
      </c>
      <c r="P8" s="9">
        <v>4</v>
      </c>
      <c r="Q8" s="9">
        <v>3</v>
      </c>
      <c r="R8" s="9">
        <v>5</v>
      </c>
      <c r="S8" s="9">
        <v>3</v>
      </c>
      <c r="T8" s="9">
        <v>3</v>
      </c>
      <c r="U8" s="9">
        <v>3</v>
      </c>
      <c r="V8" s="9">
        <v>3</v>
      </c>
      <c r="W8" s="9">
        <f t="shared" si="1"/>
        <v>3.5555555555555554</v>
      </c>
      <c r="X8" s="9">
        <v>4</v>
      </c>
      <c r="Y8" s="9">
        <v>4</v>
      </c>
      <c r="Z8" s="9">
        <v>4</v>
      </c>
      <c r="AA8" s="9">
        <v>5</v>
      </c>
      <c r="AB8" s="9">
        <v>5</v>
      </c>
      <c r="AC8" s="9">
        <v>4</v>
      </c>
      <c r="AD8" s="9">
        <v>4</v>
      </c>
      <c r="AE8" s="9">
        <v>3</v>
      </c>
      <c r="AF8" s="9">
        <v>2</v>
      </c>
      <c r="AG8" s="10">
        <f t="shared" si="2"/>
        <v>3.8888888888888888</v>
      </c>
      <c r="AH8" s="10">
        <f t="shared" si="3"/>
        <v>3.8518518518518516</v>
      </c>
    </row>
    <row r="9" spans="1:34" ht="45">
      <c r="A9" s="9" t="s">
        <v>109</v>
      </c>
      <c r="B9" s="14" t="s">
        <v>110</v>
      </c>
      <c r="D9" s="9">
        <v>5</v>
      </c>
      <c r="E9" s="9">
        <v>5</v>
      </c>
      <c r="F9" s="9">
        <v>5</v>
      </c>
      <c r="G9" s="9">
        <v>5</v>
      </c>
      <c r="H9" s="9">
        <v>4</v>
      </c>
      <c r="I9" s="9">
        <v>5</v>
      </c>
      <c r="J9" s="9">
        <v>4</v>
      </c>
      <c r="K9" s="9">
        <v>3</v>
      </c>
      <c r="L9" s="9">
        <v>3</v>
      </c>
      <c r="M9" s="10">
        <f t="shared" si="0"/>
        <v>4.333333333333333</v>
      </c>
      <c r="N9" s="9">
        <v>4</v>
      </c>
      <c r="O9" s="9">
        <v>4</v>
      </c>
      <c r="P9" s="9">
        <v>4</v>
      </c>
      <c r="Q9" s="9">
        <v>4</v>
      </c>
      <c r="R9" s="9">
        <v>4</v>
      </c>
      <c r="S9" s="9">
        <v>3</v>
      </c>
      <c r="T9" s="9">
        <v>3</v>
      </c>
      <c r="U9" s="9">
        <v>3</v>
      </c>
      <c r="V9" s="9">
        <v>2</v>
      </c>
      <c r="W9" s="9">
        <f t="shared" si="1"/>
        <v>3.4444444444444446</v>
      </c>
      <c r="X9" s="9">
        <v>5</v>
      </c>
      <c r="Y9" s="9">
        <v>5</v>
      </c>
      <c r="Z9" s="9">
        <v>3</v>
      </c>
      <c r="AA9" s="9">
        <v>3</v>
      </c>
      <c r="AB9" s="9">
        <v>2</v>
      </c>
      <c r="AC9" s="9">
        <v>5</v>
      </c>
      <c r="AD9" s="9">
        <v>3</v>
      </c>
      <c r="AE9" s="9">
        <v>3</v>
      </c>
      <c r="AF9" s="9">
        <v>2</v>
      </c>
      <c r="AG9" s="10">
        <f t="shared" si="2"/>
        <v>3.4444444444444446</v>
      </c>
      <c r="AH9" s="10">
        <f t="shared" si="3"/>
        <v>3.7407407407407405</v>
      </c>
    </row>
    <row r="10" spans="1:34" ht="51.75">
      <c r="A10" s="9" t="s">
        <v>111</v>
      </c>
      <c r="B10" s="15" t="s">
        <v>112</v>
      </c>
      <c r="D10" s="9">
        <v>4</v>
      </c>
      <c r="E10" s="9">
        <v>5</v>
      </c>
      <c r="F10" s="9">
        <v>5</v>
      </c>
      <c r="G10" s="9">
        <v>5</v>
      </c>
      <c r="H10" s="9">
        <v>3</v>
      </c>
      <c r="I10" s="9">
        <v>4</v>
      </c>
      <c r="J10" s="9">
        <v>3</v>
      </c>
      <c r="K10" s="9">
        <v>3</v>
      </c>
      <c r="L10" s="9">
        <v>3</v>
      </c>
      <c r="M10" s="10">
        <f t="shared" si="0"/>
        <v>3.8888888888888888</v>
      </c>
      <c r="N10" s="9">
        <v>3</v>
      </c>
      <c r="O10" s="9">
        <v>4</v>
      </c>
      <c r="P10" s="9">
        <v>4</v>
      </c>
      <c r="Q10" s="9">
        <v>4</v>
      </c>
      <c r="R10" s="9">
        <v>4</v>
      </c>
      <c r="S10" s="9">
        <v>2</v>
      </c>
      <c r="T10" s="9">
        <v>3</v>
      </c>
      <c r="U10" s="9">
        <v>3</v>
      </c>
      <c r="V10" s="9">
        <v>3</v>
      </c>
      <c r="W10" s="9">
        <f t="shared" si="1"/>
        <v>3.3333333333333335</v>
      </c>
      <c r="X10" s="9">
        <v>3</v>
      </c>
      <c r="Y10" s="9">
        <v>3</v>
      </c>
      <c r="Z10" s="9">
        <v>4</v>
      </c>
      <c r="AA10" s="9">
        <v>3</v>
      </c>
      <c r="AB10" s="9">
        <v>1</v>
      </c>
      <c r="AC10" s="9">
        <v>3</v>
      </c>
      <c r="AD10" s="9">
        <v>2</v>
      </c>
      <c r="AE10" s="9">
        <v>3</v>
      </c>
      <c r="AF10" s="9">
        <v>2</v>
      </c>
      <c r="AG10" s="10">
        <f t="shared" si="2"/>
        <v>2.6666666666666665</v>
      </c>
      <c r="AH10" s="10">
        <f t="shared" si="3"/>
        <v>3.2962962962962963</v>
      </c>
    </row>
    <row r="11" spans="1:34">
      <c r="H11" s="11"/>
    </row>
    <row r="12" spans="1:34">
      <c r="H12" s="11"/>
    </row>
    <row r="13" spans="1:34">
      <c r="H13" s="11"/>
    </row>
    <row r="14" spans="1:34">
      <c r="H14" s="1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K_S_A</vt:lpstr>
      <vt:lpstr>3차설문결과_중요도_난이도</vt:lpstr>
      <vt:lpstr>3차설문결과_기초역량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2020-06-02T03:48:49Z</dcterms:created>
  <dcterms:modified xsi:type="dcterms:W3CDTF">2020-06-03T06:01:22Z</dcterms:modified>
</cp:coreProperties>
</file>